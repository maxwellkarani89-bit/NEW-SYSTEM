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NEW SYSTEM\"/>
    </mc:Choice>
  </mc:AlternateContent>
  <xr:revisionPtr revIDLastSave="0" documentId="13_ncr:1_{FADDA407-D799-480E-9D79-1F719D56EB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UR " sheetId="11" r:id="rId1"/>
    <sheet name="USD" sheetId="9" r:id="rId2"/>
    <sheet name="AUD" sheetId="14" r:id="rId3"/>
    <sheet name="CHF" sheetId="17" r:id="rId4"/>
    <sheet name="GBP" sheetId="10" r:id="rId5"/>
    <sheet name="JPY" sheetId="8" r:id="rId6"/>
    <sheet name="CAD" sheetId="16" r:id="rId7"/>
    <sheet name="NZD" sheetId="18" r:id="rId8"/>
    <sheet name="XAU" sheetId="19" r:id="rId9"/>
    <sheet name="BTC" sheetId="20" r:id="rId10"/>
  </sheets>
  <definedNames>
    <definedName name="_xlchart.v1.0" hidden="1">NZD!$A$2:$A$26</definedName>
    <definedName name="_xlchart.v1.1" hidden="1">NZD!$D$1</definedName>
    <definedName name="_xlchart.v1.2" hidden="1">NZD!$D$2:$D$26</definedName>
    <definedName name="_xlchart.v1.3" hidden="1">NZD!$A$2:$A$26</definedName>
    <definedName name="_xlchart.v1.4" hidden="1">NZD!$D$1</definedName>
    <definedName name="_xlchart.v1.5" hidden="1">NZD!$D$2:$D$26</definedName>
  </definedNames>
  <calcPr calcId="191029"/>
</workbook>
</file>

<file path=xl/calcChain.xml><?xml version="1.0" encoding="utf-8"?>
<calcChain xmlns="http://schemas.openxmlformats.org/spreadsheetml/2006/main">
  <c r="G2" i="20" l="1"/>
  <c r="D2" i="20"/>
  <c r="G2" i="19"/>
  <c r="D2" i="19"/>
  <c r="G26" i="18"/>
  <c r="D26" i="18"/>
  <c r="G26" i="9"/>
  <c r="D26" i="9"/>
  <c r="G26" i="17"/>
  <c r="D26" i="17"/>
  <c r="G26" i="8"/>
  <c r="D26" i="8"/>
  <c r="G27" i="11"/>
  <c r="D27" i="11"/>
  <c r="G26" i="16"/>
  <c r="D26" i="16"/>
  <c r="G26" i="10"/>
  <c r="D26" i="10"/>
  <c r="G25" i="14"/>
  <c r="D25" i="14"/>
  <c r="D24" i="14"/>
  <c r="G25" i="18"/>
  <c r="D25" i="18"/>
  <c r="G25" i="9"/>
  <c r="D25" i="9"/>
  <c r="G25" i="17"/>
  <c r="D25" i="17"/>
  <c r="G25" i="8"/>
  <c r="D25" i="8"/>
  <c r="G26" i="11"/>
  <c r="D26" i="11"/>
  <c r="G25" i="16"/>
  <c r="D25" i="16"/>
  <c r="G23" i="16"/>
  <c r="G25" i="10"/>
  <c r="D25" i="10"/>
  <c r="G24" i="14"/>
  <c r="G24" i="18"/>
  <c r="D24" i="18"/>
  <c r="G24" i="9"/>
  <c r="D24" i="9"/>
  <c r="G24" i="17"/>
  <c r="D24" i="17"/>
  <c r="G24" i="8"/>
  <c r="D24" i="8"/>
  <c r="G25" i="11"/>
  <c r="D25" i="11"/>
  <c r="G24" i="16"/>
  <c r="D24" i="16"/>
  <c r="G24" i="10"/>
  <c r="D24" i="10"/>
  <c r="G24" i="11"/>
  <c r="D24" i="11"/>
  <c r="G23" i="11"/>
  <c r="D23" i="11"/>
  <c r="G23" i="9"/>
  <c r="D23" i="9"/>
  <c r="G23" i="14"/>
  <c r="D23" i="14"/>
  <c r="G23" i="17"/>
  <c r="D23" i="17"/>
  <c r="G23" i="10"/>
  <c r="D23" i="10"/>
  <c r="G23" i="8"/>
  <c r="D23" i="8"/>
  <c r="D23" i="16"/>
  <c r="G23" i="18"/>
  <c r="D23" i="18"/>
  <c r="G22" i="18"/>
  <c r="D22" i="18"/>
  <c r="G22" i="16"/>
  <c r="D22" i="16"/>
  <c r="G22" i="8"/>
  <c r="D22" i="8"/>
  <c r="G22" i="10"/>
  <c r="D22" i="10"/>
  <c r="G22" i="17"/>
  <c r="D22" i="17"/>
  <c r="G22" i="14"/>
  <c r="D22" i="14"/>
  <c r="G22" i="9"/>
  <c r="D22" i="9"/>
  <c r="G22" i="11"/>
  <c r="D22" i="11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" i="18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G21" i="14"/>
  <c r="D21" i="14"/>
  <c r="G21" i="10"/>
  <c r="G20" i="10"/>
  <c r="D21" i="10"/>
  <c r="G21" i="8"/>
  <c r="D21" i="8"/>
  <c r="G21" i="9"/>
  <c r="D21" i="9"/>
  <c r="G21" i="11"/>
  <c r="D21" i="11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" i="16"/>
  <c r="D2" i="14"/>
  <c r="D17" i="14"/>
  <c r="D18" i="14"/>
  <c r="D19" i="14"/>
  <c r="D20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G20" i="8"/>
  <c r="D20" i="8"/>
  <c r="G20" i="9"/>
  <c r="D20" i="9"/>
  <c r="D20" i="10"/>
  <c r="G20" i="11"/>
  <c r="D20" i="11"/>
  <c r="D11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G10" i="11"/>
  <c r="D10" i="11"/>
  <c r="G9" i="11"/>
  <c r="D9" i="11"/>
  <c r="G8" i="11"/>
  <c r="D8" i="11"/>
  <c r="G7" i="11"/>
  <c r="D7" i="11"/>
  <c r="G6" i="11"/>
  <c r="D6" i="11"/>
  <c r="G5" i="11"/>
  <c r="D5" i="11"/>
  <c r="G4" i="11"/>
  <c r="D4" i="11"/>
  <c r="G3" i="11"/>
  <c r="D3" i="11"/>
  <c r="G2" i="11"/>
  <c r="D2" i="11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G7" i="10"/>
  <c r="D7" i="10"/>
  <c r="G6" i="10"/>
  <c r="D6" i="10"/>
  <c r="G5" i="10"/>
  <c r="D5" i="10"/>
  <c r="G4" i="10"/>
  <c r="D4" i="10"/>
  <c r="G3" i="10"/>
  <c r="D3" i="10"/>
  <c r="G2" i="10"/>
  <c r="D2" i="10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2" i="9"/>
  <c r="D2" i="9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G6" i="8"/>
  <c r="D6" i="8"/>
  <c r="G5" i="8"/>
  <c r="D5" i="8"/>
  <c r="G4" i="8"/>
  <c r="D4" i="8"/>
  <c r="G3" i="8"/>
  <c r="D3" i="8"/>
  <c r="G2" i="8"/>
  <c r="D2" i="8"/>
</calcChain>
</file>

<file path=xl/sharedStrings.xml><?xml version="1.0" encoding="utf-8"?>
<sst xmlns="http://schemas.openxmlformats.org/spreadsheetml/2006/main" count="123" uniqueCount="22">
  <si>
    <t>Date</t>
  </si>
  <si>
    <t>Non-Commercial Longs</t>
  </si>
  <si>
    <t>Non-Commercial Shorts</t>
  </si>
  <si>
    <t>Net Position (Longs - Shorts)</t>
  </si>
  <si>
    <t>Change in Longs</t>
  </si>
  <si>
    <t>Change in Shorts</t>
  </si>
  <si>
    <t>Net Change</t>
  </si>
  <si>
    <t>18/11/2025</t>
  </si>
  <si>
    <t>25/11/2025</t>
  </si>
  <si>
    <t>16/12/2025</t>
  </si>
  <si>
    <t>23/12/2025</t>
  </si>
  <si>
    <t>30/12/2025</t>
  </si>
  <si>
    <t>13/1/2026</t>
  </si>
  <si>
    <t>20/1/2026</t>
  </si>
  <si>
    <t>27/1/2026</t>
  </si>
  <si>
    <t>17/2/2026</t>
  </si>
  <si>
    <t>24/2/2026</t>
  </si>
  <si>
    <t>17/3/2026</t>
  </si>
  <si>
    <t>Change in shorts</t>
  </si>
  <si>
    <t>24/3/2026</t>
  </si>
  <si>
    <t>31/3/2026</t>
  </si>
  <si>
    <t> 2026-04-14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</si>
</sst>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2" borderId="0" xfId="0" applyFill="1"/>
    <xf numFmtId="3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0" borderId="2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1" fillId="0" borderId="0" xfId="0" applyFont="1"/>
    <xf numFmtId="14" fontId="0" fillId="0" borderId="0" xfId="0" applyNumberFormat="1"/>
    <xf numFmtId="3" fontId="3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3" xfId="0" applyNumberFormat="1" applyBorder="1"/>
    <xf numFmtId="0" fontId="0" fillId="2" borderId="3" xfId="0" applyFill="1" applyBorder="1"/>
    <xf numFmtId="3" fontId="0" fillId="2" borderId="0" xfId="0" applyNumberFormat="1" applyFill="1"/>
    <xf numFmtId="3" fontId="0" fillId="0" borderId="1" xfId="0" applyNumberFormat="1" applyFont="1" applyBorder="1"/>
    <xf numFmtId="3" fontId="0" fillId="0" borderId="0" xfId="0" applyNumberFormat="1" applyFont="1"/>
    <xf numFmtId="0" fontId="0" fillId="0" borderId="0" xfId="0" applyFont="1"/>
    <xf numFmtId="0" fontId="4" fillId="2" borderId="1" xfId="0" applyFont="1" applyFill="1" applyBorder="1" applyAlignment="1">
      <alignment horizontal="right" vertical="center"/>
    </xf>
    <xf numFmtId="14" fontId="4" fillId="2" borderId="1" xfId="0" applyNumberFormat="1" applyFont="1" applyFill="1" applyBorder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/>
    <xf numFmtId="3" fontId="5" fillId="0" borderId="3" xfId="0" applyNumberFormat="1" applyFont="1" applyBorder="1"/>
    <xf numFmtId="3" fontId="5" fillId="0" borderId="0" xfId="0" applyNumberFormat="1" applyFont="1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3" fontId="7" fillId="2" borderId="1" xfId="0" applyNumberFormat="1" applyFont="1" applyFill="1" applyBorder="1"/>
    <xf numFmtId="0" fontId="7" fillId="2" borderId="0" xfId="0" applyFont="1" applyFill="1"/>
    <xf numFmtId="0" fontId="4" fillId="0" borderId="0" xfId="0" applyFont="1"/>
    <xf numFmtId="14" fontId="4" fillId="0" borderId="0" xfId="0" applyNumberFormat="1" applyFont="1"/>
    <xf numFmtId="0" fontId="7" fillId="0" borderId="0" xfId="0" applyFont="1"/>
    <xf numFmtId="3" fontId="7" fillId="0" borderId="0" xfId="0" applyNumberFormat="1" applyFont="1"/>
    <xf numFmtId="14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5" fillId="2" borderId="0" xfId="0" applyFont="1" applyFill="1"/>
    <xf numFmtId="0" fontId="0" fillId="0" borderId="1" xfId="0" applyFont="1" applyBorder="1"/>
    <xf numFmtId="0" fontId="0" fillId="0" borderId="3" xfId="0" applyFont="1" applyBorder="1"/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'EUR '!$D$1</c:f>
              <c:strCache>
                <c:ptCount val="1"/>
                <c:pt idx="0">
                  <c:v>Net Position (Longs - Shorts)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'EUR '!$A$2:$A$27</c:f>
              <c:strCache>
                <c:ptCount val="26"/>
                <c:pt idx="0">
                  <c:v>10/11/2025</c:v>
                </c:pt>
                <c:pt idx="1">
                  <c:v>18/11/2025</c:v>
                </c:pt>
                <c:pt idx="2">
                  <c:v>25/11/2025</c:v>
                </c:pt>
                <c:pt idx="3">
                  <c:v>2/12/2025</c:v>
                </c:pt>
                <c:pt idx="4">
                  <c:v>9/12/2025</c:v>
                </c:pt>
                <c:pt idx="5">
                  <c:v>16/12/2025</c:v>
                </c:pt>
                <c:pt idx="6">
                  <c:v>23/12/2025</c:v>
                </c:pt>
                <c:pt idx="7">
                  <c:v>30/12/2025</c:v>
                </c:pt>
                <c:pt idx="8">
                  <c:v>6/1/2026</c:v>
                </c:pt>
                <c:pt idx="9">
                  <c:v>13/1/2026</c:v>
                </c:pt>
                <c:pt idx="10">
                  <c:v>20/1/2026</c:v>
                </c:pt>
                <c:pt idx="11">
                  <c:v>27/1/2026</c:v>
                </c:pt>
                <c:pt idx="12">
                  <c:v>3/2/2026</c:v>
                </c:pt>
                <c:pt idx="13">
                  <c:v>10/2/2026</c:v>
                </c:pt>
                <c:pt idx="14">
                  <c:v>17/2/2026</c:v>
                </c:pt>
                <c:pt idx="15">
                  <c:v>24/2/2026</c:v>
                </c:pt>
                <c:pt idx="16">
                  <c:v>3/3/2026</c:v>
                </c:pt>
                <c:pt idx="17">
                  <c:v>10/3/2026</c:v>
                </c:pt>
                <c:pt idx="18">
                  <c:v>17/3/2026</c:v>
                </c:pt>
                <c:pt idx="19">
                  <c:v>24/3/2026</c:v>
                </c:pt>
                <c:pt idx="20">
                  <c:v>31/3/2026</c:v>
                </c:pt>
                <c:pt idx="21">
                  <c:v>4/7/2026</c:v>
                </c:pt>
                <c:pt idx="22">
                  <c:v>4/14/2026</c:v>
                </c:pt>
                <c:pt idx="23">
                  <c:v>4/14/2026</c:v>
                </c:pt>
                <c:pt idx="24">
                  <c:v>4/21/2026</c:v>
                </c:pt>
                <c:pt idx="25">
                  <c:v>4/28/2026</c:v>
                </c:pt>
              </c:strCache>
            </c:strRef>
          </c:cat>
          <c:val>
            <c:numRef>
              <c:f>'EUR '!$D$2:$D$27</c:f>
              <c:numCache>
                <c:formatCode>General</c:formatCode>
                <c:ptCount val="26"/>
                <c:pt idx="0">
                  <c:v>73589</c:v>
                </c:pt>
                <c:pt idx="1">
                  <c:v>99007</c:v>
                </c:pt>
                <c:pt idx="2">
                  <c:v>94071</c:v>
                </c:pt>
                <c:pt idx="3">
                  <c:v>108453</c:v>
                </c:pt>
                <c:pt idx="4">
                  <c:v>138788</c:v>
                </c:pt>
                <c:pt idx="5">
                  <c:v>144903</c:v>
                </c:pt>
                <c:pt idx="6">
                  <c:v>159891</c:v>
                </c:pt>
                <c:pt idx="7">
                  <c:v>157465</c:v>
                </c:pt>
                <c:pt idx="8">
                  <c:v>162812</c:v>
                </c:pt>
                <c:pt idx="9">
                  <c:v>132656</c:v>
                </c:pt>
                <c:pt idx="10">
                  <c:v>111695</c:v>
                </c:pt>
                <c:pt idx="11">
                  <c:v>132134</c:v>
                </c:pt>
                <c:pt idx="12">
                  <c:v>163361</c:v>
                </c:pt>
                <c:pt idx="13">
                  <c:v>180305</c:v>
                </c:pt>
                <c:pt idx="14">
                  <c:v>174480</c:v>
                </c:pt>
                <c:pt idx="15">
                  <c:v>156856</c:v>
                </c:pt>
                <c:pt idx="16">
                  <c:v>136498</c:v>
                </c:pt>
                <c:pt idx="17">
                  <c:v>105144</c:v>
                </c:pt>
                <c:pt idx="18">
                  <c:v>21132</c:v>
                </c:pt>
                <c:pt idx="19">
                  <c:v>9279</c:v>
                </c:pt>
                <c:pt idx="20">
                  <c:v>507</c:v>
                </c:pt>
                <c:pt idx="21">
                  <c:v>-7541</c:v>
                </c:pt>
                <c:pt idx="22">
                  <c:v>65075</c:v>
                </c:pt>
                <c:pt idx="23">
                  <c:v>26018</c:v>
                </c:pt>
                <c:pt idx="24">
                  <c:v>41324</c:v>
                </c:pt>
                <c:pt idx="25">
                  <c:v>35712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8-4107-88E6-6400EAF7E6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82759728"/>
        <c:axId val="1182765488"/>
      </c:barChart>
      <c:catAx>
        <c:axId val="118275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65488"/>
        <c:crosses val="autoZero"/>
        <c:auto val="1"/>
        <c:lblAlgn val="ctr"/>
        <c:lblOffset val="100"/>
        <c:noMultiLvlLbl val="0"/>
      </c:catAx>
      <c:valAx>
        <c:axId val="11827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5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USD Net Position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86691720353141E-2"/>
          <c:y val="4.8234267707239153E-2"/>
          <c:w val="0.90264361130994986"/>
          <c:h val="0.7342796437283515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USD!$D$1</c:f>
              <c:strCache>
                <c:ptCount val="1"/>
                <c:pt idx="0">
                  <c:v>Net Position (Longs - Shorts)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39E-4540-AFC6-9EA0FE0986D7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39E-4540-AFC6-9EA0FE0986D7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39E-4540-AFC6-9EA0FE0986D7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39E-4540-AFC6-9EA0FE0986D7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39E-4540-AFC6-9EA0FE0986D7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39E-4540-AFC6-9EA0FE0986D7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39E-4540-AFC6-9EA0FE0986D7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39E-4540-AFC6-9EA0FE0986D7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739E-4540-AFC6-9EA0FE0986D7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739E-4540-AFC6-9EA0FE0986D7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739E-4540-AFC6-9EA0FE0986D7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739E-4540-AFC6-9EA0FE0986D7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739E-4540-AFC6-9EA0FE0986D7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739E-4540-AFC6-9EA0FE0986D7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739E-4540-AFC6-9EA0FE0986D7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739E-4540-AFC6-9EA0FE0986D7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739E-4540-AFC6-9EA0FE0986D7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739E-4540-AFC6-9EA0FE0986D7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739E-4540-AFC6-9EA0FE0986D7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BAA6-4102-805F-5F9C78EAD930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1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3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USD!$A$2:$A$26</c:f>
              <c:strCache>
                <c:ptCount val="25"/>
                <c:pt idx="0">
                  <c:v>10/11/2025</c:v>
                </c:pt>
                <c:pt idx="1">
                  <c:v>18/11/2025</c:v>
                </c:pt>
                <c:pt idx="2">
                  <c:v>25/11/2025</c:v>
                </c:pt>
                <c:pt idx="3">
                  <c:v>2/12/2025</c:v>
                </c:pt>
                <c:pt idx="4">
                  <c:v>9/12/2025</c:v>
                </c:pt>
                <c:pt idx="5">
                  <c:v>16/12/2025</c:v>
                </c:pt>
                <c:pt idx="6">
                  <c:v>23/12/2025</c:v>
                </c:pt>
                <c:pt idx="7">
                  <c:v>30/12/2025</c:v>
                </c:pt>
                <c:pt idx="8">
                  <c:v>6/1/2026</c:v>
                </c:pt>
                <c:pt idx="9">
                  <c:v>13/1/2026</c:v>
                </c:pt>
                <c:pt idx="10">
                  <c:v>20/1/2026</c:v>
                </c:pt>
                <c:pt idx="11">
                  <c:v>27/1/2026</c:v>
                </c:pt>
                <c:pt idx="12">
                  <c:v>3/2/2026</c:v>
                </c:pt>
                <c:pt idx="13">
                  <c:v>10/2/2026</c:v>
                </c:pt>
                <c:pt idx="14">
                  <c:v>17/2/2026</c:v>
                </c:pt>
                <c:pt idx="15">
                  <c:v>24/2/2026</c:v>
                </c:pt>
                <c:pt idx="16">
                  <c:v>3/3/2026</c:v>
                </c:pt>
                <c:pt idx="17">
                  <c:v>10/3/2026</c:v>
                </c:pt>
                <c:pt idx="18">
                  <c:v>17/3/2026</c:v>
                </c:pt>
                <c:pt idx="19">
                  <c:v>24/3/2026</c:v>
                </c:pt>
                <c:pt idx="20">
                  <c:v>31/3/2026</c:v>
                </c:pt>
                <c:pt idx="21">
                  <c:v>4/7/2026</c:v>
                </c:pt>
                <c:pt idx="22">
                  <c:v>4/14/2026</c:v>
                </c:pt>
                <c:pt idx="23">
                  <c:v>4/21/2026</c:v>
                </c:pt>
                <c:pt idx="24">
                  <c:v>4/28/2026</c:v>
                </c:pt>
              </c:strCache>
            </c:strRef>
          </c:cat>
          <c:val>
            <c:numRef>
              <c:f>USD!$D$2:$D$26</c:f>
              <c:numCache>
                <c:formatCode>General</c:formatCode>
                <c:ptCount val="25"/>
                <c:pt idx="0">
                  <c:v>-15627</c:v>
                </c:pt>
                <c:pt idx="1">
                  <c:v>-16108</c:v>
                </c:pt>
                <c:pt idx="2">
                  <c:v>-16347</c:v>
                </c:pt>
                <c:pt idx="3">
                  <c:v>-16218</c:v>
                </c:pt>
                <c:pt idx="4">
                  <c:v>-13874</c:v>
                </c:pt>
                <c:pt idx="5">
                  <c:v>-4595</c:v>
                </c:pt>
                <c:pt idx="6">
                  <c:v>-4021</c:v>
                </c:pt>
                <c:pt idx="7">
                  <c:v>-3960</c:v>
                </c:pt>
                <c:pt idx="8">
                  <c:v>-3831</c:v>
                </c:pt>
                <c:pt idx="9">
                  <c:v>-3730</c:v>
                </c:pt>
                <c:pt idx="10">
                  <c:v>-6418</c:v>
                </c:pt>
                <c:pt idx="11">
                  <c:v>-4405</c:v>
                </c:pt>
                <c:pt idx="12">
                  <c:v>-852</c:v>
                </c:pt>
                <c:pt idx="13">
                  <c:v>-729</c:v>
                </c:pt>
                <c:pt idx="14">
                  <c:v>328</c:v>
                </c:pt>
                <c:pt idx="15">
                  <c:v>-1789</c:v>
                </c:pt>
                <c:pt idx="16">
                  <c:v>-4989</c:v>
                </c:pt>
                <c:pt idx="17">
                  <c:v>-5882</c:v>
                </c:pt>
                <c:pt idx="18">
                  <c:v>3693</c:v>
                </c:pt>
                <c:pt idx="19">
                  <c:v>3617</c:v>
                </c:pt>
                <c:pt idx="20">
                  <c:v>3681</c:v>
                </c:pt>
                <c:pt idx="21">
                  <c:v>5511</c:v>
                </c:pt>
                <c:pt idx="22">
                  <c:v>5170</c:v>
                </c:pt>
                <c:pt idx="23">
                  <c:v>4983</c:v>
                </c:pt>
                <c:pt idx="24">
                  <c:v>4508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7-4003-9236-D50A5755B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Position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25583407828303E-2"/>
          <c:y val="5.1067224485570405E-2"/>
          <c:w val="0.87929660425417278"/>
          <c:h val="0.93194122196442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AUD!$A$2</c:f>
              <c:strCache>
                <c:ptCount val="1"/>
                <c:pt idx="0">
                  <c:v>11/10/2025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</c:f>
              <c:numCache>
                <c:formatCode>#,##0</c:formatCode>
                <c:ptCount val="1"/>
                <c:pt idx="0">
                  <c:v>-78627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5-484C-8A33-4673061B4C10}"/>
            </c:ext>
          </c:extLst>
        </c:ser>
        <c:ser>
          <c:idx val="1"/>
          <c:order val="1"/>
          <c:tx>
            <c:strRef>
              <c:f>AUD!$A$3</c:f>
              <c:strCache>
                <c:ptCount val="1"/>
                <c:pt idx="0">
                  <c:v>11/18/2025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AUD!$D$3</c:f>
              <c:numCache>
                <c:formatCode>General</c:formatCode>
                <c:ptCount val="1"/>
                <c:pt idx="0">
                  <c:v>-75856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5-484C-8A33-4673061B4C10}"/>
            </c:ext>
          </c:extLst>
        </c:ser>
        <c:ser>
          <c:idx val="2"/>
          <c:order val="2"/>
          <c:tx>
            <c:strRef>
              <c:f>AUD!$A$4</c:f>
              <c:strCache>
                <c:ptCount val="1"/>
                <c:pt idx="0">
                  <c:v>11/25/2025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AUD!$D$4</c:f>
              <c:numCache>
                <c:formatCode>General</c:formatCode>
                <c:ptCount val="1"/>
                <c:pt idx="0">
                  <c:v>-84176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5-484C-8A33-4673061B4C10}"/>
            </c:ext>
          </c:extLst>
        </c:ser>
        <c:ser>
          <c:idx val="3"/>
          <c:order val="3"/>
          <c:tx>
            <c:strRef>
              <c:f>AUD!$A$5</c:f>
              <c:strCache>
                <c:ptCount val="1"/>
                <c:pt idx="0">
                  <c:v>12/2/2025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AUD!$D$5</c:f>
              <c:numCache>
                <c:formatCode>General</c:formatCode>
                <c:ptCount val="1"/>
                <c:pt idx="0">
                  <c:v>-83393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B5-484C-8A33-4673061B4C10}"/>
            </c:ext>
          </c:extLst>
        </c:ser>
        <c:ser>
          <c:idx val="4"/>
          <c:order val="4"/>
          <c:tx>
            <c:strRef>
              <c:f>AUD!$A$6</c:f>
              <c:strCache>
                <c:ptCount val="1"/>
                <c:pt idx="0">
                  <c:v>12/9/2025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AUD!$D$6</c:f>
              <c:numCache>
                <c:formatCode>General</c:formatCode>
                <c:ptCount val="1"/>
                <c:pt idx="0">
                  <c:v>-62947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B5-484C-8A33-4673061B4C10}"/>
            </c:ext>
          </c:extLst>
        </c:ser>
        <c:ser>
          <c:idx val="5"/>
          <c:order val="5"/>
          <c:tx>
            <c:strRef>
              <c:f>AUD!$A$7</c:f>
              <c:strCache>
                <c:ptCount val="1"/>
                <c:pt idx="0">
                  <c:v>12/16/2025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AUD!$D$7</c:f>
              <c:numCache>
                <c:formatCode>General</c:formatCode>
                <c:ptCount val="1"/>
                <c:pt idx="0">
                  <c:v>-21895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B5-484C-8A33-4673061B4C10}"/>
            </c:ext>
          </c:extLst>
        </c:ser>
        <c:ser>
          <c:idx val="6"/>
          <c:order val="6"/>
          <c:tx>
            <c:strRef>
              <c:f>AUD!$A$8</c:f>
              <c:strCache>
                <c:ptCount val="1"/>
                <c:pt idx="0">
                  <c:v>12/23/2025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AUD!$D$8</c:f>
              <c:numCache>
                <c:formatCode>General</c:formatCode>
                <c:ptCount val="1"/>
                <c:pt idx="0">
                  <c:v>-21598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B5-484C-8A33-4673061B4C10}"/>
            </c:ext>
          </c:extLst>
        </c:ser>
        <c:ser>
          <c:idx val="7"/>
          <c:order val="7"/>
          <c:tx>
            <c:strRef>
              <c:f>AUD!$A$9</c:f>
              <c:strCache>
                <c:ptCount val="1"/>
                <c:pt idx="0">
                  <c:v>12/30/2025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AUD!$D$9</c:f>
              <c:numCache>
                <c:formatCode>General</c:formatCode>
                <c:ptCount val="1"/>
                <c:pt idx="0">
                  <c:v>-21216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B5-484C-8A33-4673061B4C10}"/>
            </c:ext>
          </c:extLst>
        </c:ser>
        <c:ser>
          <c:idx val="8"/>
          <c:order val="8"/>
          <c:tx>
            <c:strRef>
              <c:f>AUD!$A$10</c:f>
              <c:strCache>
                <c:ptCount val="1"/>
                <c:pt idx="0">
                  <c:v>1/6/2026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AUD!$D$10</c:f>
              <c:numCache>
                <c:formatCode>General</c:formatCode>
                <c:ptCount val="1"/>
                <c:pt idx="0">
                  <c:v>-18960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B5-484C-8A33-4673061B4C10}"/>
            </c:ext>
          </c:extLst>
        </c:ser>
        <c:ser>
          <c:idx val="9"/>
          <c:order val="9"/>
          <c:tx>
            <c:strRef>
              <c:f>AUD!$A$11</c:f>
              <c:strCache>
                <c:ptCount val="1"/>
                <c:pt idx="0">
                  <c:v>1/13/2026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AUD!$D$11</c:f>
              <c:numCache>
                <c:formatCode>General</c:formatCode>
                <c:ptCount val="1"/>
                <c:pt idx="0">
                  <c:v>-18846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B5-484C-8A33-4673061B4C10}"/>
            </c:ext>
          </c:extLst>
        </c:ser>
        <c:ser>
          <c:idx val="10"/>
          <c:order val="10"/>
          <c:tx>
            <c:strRef>
              <c:f>AUD!$A$12</c:f>
              <c:strCache>
                <c:ptCount val="1"/>
                <c:pt idx="0">
                  <c:v>1/20/2026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AUD!$D$12</c:f>
              <c:numCache>
                <c:formatCode>General</c:formatCode>
                <c:ptCount val="1"/>
                <c:pt idx="0">
                  <c:v>-14011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B5-484C-8A33-4673061B4C10}"/>
            </c:ext>
          </c:extLst>
        </c:ser>
        <c:ser>
          <c:idx val="11"/>
          <c:order val="11"/>
          <c:tx>
            <c:strRef>
              <c:f>AUD!$A$13</c:f>
              <c:strCache>
                <c:ptCount val="1"/>
                <c:pt idx="0">
                  <c:v>1/27/2026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AUD!$D$13</c:f>
              <c:numCache>
                <c:formatCode>General</c:formatCode>
                <c:ptCount val="1"/>
                <c:pt idx="0">
                  <c:v>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B5-484C-8A33-4673061B4C10}"/>
            </c:ext>
          </c:extLst>
        </c:ser>
        <c:ser>
          <c:idx val="12"/>
          <c:order val="12"/>
          <c:tx>
            <c:strRef>
              <c:f>AUD!$A$14</c:f>
              <c:strCache>
                <c:ptCount val="1"/>
                <c:pt idx="0">
                  <c:v>2/3/2026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AUD!$D$14</c:f>
              <c:numCache>
                <c:formatCode>General</c:formatCode>
                <c:ptCount val="1"/>
                <c:pt idx="0">
                  <c:v>26118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B5-484C-8A33-4673061B4C10}"/>
            </c:ext>
          </c:extLst>
        </c:ser>
        <c:ser>
          <c:idx val="13"/>
          <c:order val="13"/>
          <c:tx>
            <c:strRef>
              <c:f>AUD!$A$15</c:f>
              <c:strCache>
                <c:ptCount val="1"/>
                <c:pt idx="0">
                  <c:v>2/10/2026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AUD!$D$15</c:f>
              <c:numCache>
                <c:formatCode>General</c:formatCode>
                <c:ptCount val="1"/>
                <c:pt idx="0">
                  <c:v>33209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EB5-484C-8A33-4673061B4C10}"/>
            </c:ext>
          </c:extLst>
        </c:ser>
        <c:ser>
          <c:idx val="14"/>
          <c:order val="14"/>
          <c:tx>
            <c:strRef>
              <c:f>AUD!$A$16</c:f>
              <c:strCache>
                <c:ptCount val="1"/>
                <c:pt idx="0">
                  <c:v>2/17/2026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AUD!$D$16</c:f>
              <c:numCache>
                <c:formatCode>General</c:formatCode>
                <c:ptCount val="1"/>
                <c:pt idx="0">
                  <c:v>45931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B5-484C-8A33-4673061B4C10}"/>
            </c:ext>
          </c:extLst>
        </c:ser>
        <c:ser>
          <c:idx val="15"/>
          <c:order val="15"/>
          <c:tx>
            <c:strRef>
              <c:f>AUD!$A$17</c:f>
              <c:strCache>
                <c:ptCount val="1"/>
                <c:pt idx="0">
                  <c:v>2/24/2026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AUD!$D$17</c:f>
              <c:numCache>
                <c:formatCode>General</c:formatCode>
                <c:ptCount val="1"/>
                <c:pt idx="0">
                  <c:v>52644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EB5-484C-8A33-4673061B4C10}"/>
            </c:ext>
          </c:extLst>
        </c:ser>
        <c:ser>
          <c:idx val="16"/>
          <c:order val="16"/>
          <c:tx>
            <c:strRef>
              <c:f>AUD!$A$18</c:f>
              <c:strCache>
                <c:ptCount val="1"/>
                <c:pt idx="0">
                  <c:v>3/3/2026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AUD!$D$18</c:f>
              <c:numCache>
                <c:formatCode>General</c:formatCode>
                <c:ptCount val="1"/>
                <c:pt idx="0">
                  <c:v>67762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EB5-484C-8A33-4673061B4C10}"/>
            </c:ext>
          </c:extLst>
        </c:ser>
        <c:ser>
          <c:idx val="17"/>
          <c:order val="17"/>
          <c:tx>
            <c:strRef>
              <c:f>AUD!$A$19</c:f>
              <c:strCache>
                <c:ptCount val="1"/>
                <c:pt idx="0">
                  <c:v>3/10/2026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AUD!$D$19</c:f>
              <c:numCache>
                <c:formatCode>General</c:formatCode>
                <c:ptCount val="1"/>
                <c:pt idx="0">
                  <c:v>54197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EB5-484C-8A33-4673061B4C10}"/>
            </c:ext>
          </c:extLst>
        </c:ser>
        <c:ser>
          <c:idx val="18"/>
          <c:order val="18"/>
          <c:tx>
            <c:strRef>
              <c:f>AUD!$A$20</c:f>
              <c:strCache>
                <c:ptCount val="1"/>
                <c:pt idx="0">
                  <c:v>3/17/2026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AUD!$D$20</c:f>
              <c:numCache>
                <c:formatCode>General</c:formatCode>
                <c:ptCount val="1"/>
                <c:pt idx="0">
                  <c:v>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EB5-484C-8A33-4673061B4C10}"/>
            </c:ext>
          </c:extLst>
        </c:ser>
        <c:ser>
          <c:idx val="19"/>
          <c:order val="19"/>
          <c:tx>
            <c:strRef>
              <c:f>AUD!$A$21</c:f>
              <c:strCache>
                <c:ptCount val="1"/>
                <c:pt idx="0">
                  <c:v>3/24/2026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AUD!$D$21</c:f>
              <c:numCache>
                <c:formatCode>General</c:formatCode>
                <c:ptCount val="1"/>
                <c:pt idx="0">
                  <c:v>70872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F-48A5-A3E4-3A7644C1453B}"/>
            </c:ext>
          </c:extLst>
        </c:ser>
        <c:ser>
          <c:idx val="20"/>
          <c:order val="20"/>
          <c:tx>
            <c:strRef>
              <c:f>AUD!$A$22</c:f>
              <c:strCache>
                <c:ptCount val="1"/>
                <c:pt idx="0">
                  <c:v>3/31/2026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AUD!$D$22</c:f>
              <c:numCache>
                <c:formatCode>General</c:formatCode>
                <c:ptCount val="1"/>
                <c:pt idx="0">
                  <c:v>81506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D-417A-A71D-B1CF779EB03E}"/>
            </c:ext>
          </c:extLst>
        </c:ser>
        <c:ser>
          <c:idx val="21"/>
          <c:order val="21"/>
          <c:tx>
            <c:strRef>
              <c:f>AUD!$A$23</c:f>
              <c:strCache>
                <c:ptCount val="1"/>
                <c:pt idx="0">
                  <c:v>4/7/2026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AUD!$D$23</c:f>
              <c:numCache>
                <c:formatCode>General</c:formatCode>
                <c:ptCount val="1"/>
                <c:pt idx="0">
                  <c:v>70813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D-417A-A71D-B1CF779EB03E}"/>
            </c:ext>
          </c:extLst>
        </c:ser>
        <c:ser>
          <c:idx val="22"/>
          <c:order val="22"/>
          <c:tx>
            <c:strRef>
              <c:f>AUD!$A$24</c:f>
              <c:strCache>
                <c:ptCount val="1"/>
                <c:pt idx="0">
                  <c:v>4/21/2026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AUD!$D$24</c:f>
              <c:numCache>
                <c:formatCode>General</c:formatCode>
                <c:ptCount val="1"/>
                <c:pt idx="0">
                  <c:v>64817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FD-417A-A71D-B1CF779EB03E}"/>
            </c:ext>
          </c:extLst>
        </c:ser>
        <c:ser>
          <c:idx val="23"/>
          <c:order val="23"/>
          <c:tx>
            <c:strRef>
              <c:f>AUD!$A$25</c:f>
              <c:strCache>
                <c:ptCount val="1"/>
                <c:pt idx="0">
                  <c:v>4/28/2026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AUD!$D$25</c:f>
              <c:numCache>
                <c:formatCode>General</c:formatCode>
                <c:ptCount val="1"/>
                <c:pt idx="0">
                  <c:v>71869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FD-417A-A71D-B1CF779EB0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8044208"/>
        <c:axId val="488051408"/>
      </c:barChart>
      <c:catAx>
        <c:axId val="4880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1408"/>
        <c:crosses val="autoZero"/>
        <c:auto val="1"/>
        <c:lblAlgn val="ctr"/>
        <c:lblOffset val="100"/>
        <c:noMultiLvlLbl val="0"/>
      </c:catAx>
      <c:valAx>
        <c:axId val="4880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4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CHF!$A$2</c:f>
              <c:strCache>
                <c:ptCount val="1"/>
                <c:pt idx="0">
                  <c:v>11/10/2025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</c:f>
              <c:numCache>
                <c:formatCode>General</c:formatCode>
                <c:ptCount val="1"/>
                <c:pt idx="0">
                  <c:v>-36049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820-896C-AC4DDFD9C9AA}"/>
            </c:ext>
          </c:extLst>
        </c:ser>
        <c:ser>
          <c:idx val="1"/>
          <c:order val="1"/>
          <c:tx>
            <c:strRef>
              <c:f>CHF!$A$3</c:f>
              <c:strCache>
                <c:ptCount val="1"/>
                <c:pt idx="0">
                  <c:v>11/18/2025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CHF!$D$3</c:f>
              <c:numCache>
                <c:formatCode>General</c:formatCode>
                <c:ptCount val="1"/>
                <c:pt idx="0">
                  <c:v>-32185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A-4820-896C-AC4DDFD9C9AA}"/>
            </c:ext>
          </c:extLst>
        </c:ser>
        <c:ser>
          <c:idx val="2"/>
          <c:order val="2"/>
          <c:tx>
            <c:strRef>
              <c:f>CHF!$A$4</c:f>
              <c:strCache>
                <c:ptCount val="1"/>
                <c:pt idx="0">
                  <c:v>11/25/2025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CHF!$D$4</c:f>
              <c:numCache>
                <c:formatCode>General</c:formatCode>
                <c:ptCount val="1"/>
                <c:pt idx="0">
                  <c:v>-35360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A-4820-896C-AC4DDFD9C9AA}"/>
            </c:ext>
          </c:extLst>
        </c:ser>
        <c:ser>
          <c:idx val="3"/>
          <c:order val="3"/>
          <c:tx>
            <c:strRef>
              <c:f>CHF!$A$5</c:f>
              <c:strCache>
                <c:ptCount val="1"/>
                <c:pt idx="0">
                  <c:v>12/2/2025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CHF!$D$5</c:f>
              <c:numCache>
                <c:formatCode>General</c:formatCode>
                <c:ptCount val="1"/>
                <c:pt idx="0">
                  <c:v>-35785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A-4820-896C-AC4DDFD9C9AA}"/>
            </c:ext>
          </c:extLst>
        </c:ser>
        <c:ser>
          <c:idx val="4"/>
          <c:order val="4"/>
          <c:tx>
            <c:strRef>
              <c:f>CHF!$A$6</c:f>
              <c:strCache>
                <c:ptCount val="1"/>
                <c:pt idx="0">
                  <c:v>12/9/2025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CHF!$D$6</c:f>
              <c:numCache>
                <c:formatCode>General</c:formatCode>
                <c:ptCount val="1"/>
                <c:pt idx="0">
                  <c:v>-38603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7A-4820-896C-AC4DDFD9C9AA}"/>
            </c:ext>
          </c:extLst>
        </c:ser>
        <c:ser>
          <c:idx val="5"/>
          <c:order val="5"/>
          <c:tx>
            <c:strRef>
              <c:f>CHF!$A$7</c:f>
              <c:strCache>
                <c:ptCount val="1"/>
                <c:pt idx="0">
                  <c:v>12/16/2025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CHF!$D$7</c:f>
              <c:numCache>
                <c:formatCode>General</c:formatCode>
                <c:ptCount val="1"/>
                <c:pt idx="0">
                  <c:v>-38907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7A-4820-896C-AC4DDFD9C9AA}"/>
            </c:ext>
          </c:extLst>
        </c:ser>
        <c:ser>
          <c:idx val="6"/>
          <c:order val="6"/>
          <c:tx>
            <c:strRef>
              <c:f>CHF!$A$8</c:f>
              <c:strCache>
                <c:ptCount val="1"/>
                <c:pt idx="0">
                  <c:v>12/23/2025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CHF!$D$8</c:f>
              <c:numCache>
                <c:formatCode>General</c:formatCode>
                <c:ptCount val="1"/>
                <c:pt idx="0">
                  <c:v>-43989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7A-4820-896C-AC4DDFD9C9AA}"/>
            </c:ext>
          </c:extLst>
        </c:ser>
        <c:ser>
          <c:idx val="7"/>
          <c:order val="7"/>
          <c:tx>
            <c:strRef>
              <c:f>CHF!$A$9</c:f>
              <c:strCache>
                <c:ptCount val="1"/>
                <c:pt idx="0">
                  <c:v>12/30/2025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CHF!$D$9</c:f>
              <c:numCache>
                <c:formatCode>General</c:formatCode>
                <c:ptCount val="1"/>
                <c:pt idx="0">
                  <c:v>-44198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7A-4820-896C-AC4DDFD9C9AA}"/>
            </c:ext>
          </c:extLst>
        </c:ser>
        <c:ser>
          <c:idx val="8"/>
          <c:order val="8"/>
          <c:tx>
            <c:strRef>
              <c:f>CHF!$A$10</c:f>
              <c:strCache>
                <c:ptCount val="1"/>
                <c:pt idx="0">
                  <c:v>1/6/2026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CHF!$D$10</c:f>
              <c:numCache>
                <c:formatCode>General</c:formatCode>
                <c:ptCount val="1"/>
                <c:pt idx="0">
                  <c:v>-40266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7A-4820-896C-AC4DDFD9C9AA}"/>
            </c:ext>
          </c:extLst>
        </c:ser>
        <c:ser>
          <c:idx val="9"/>
          <c:order val="9"/>
          <c:tx>
            <c:strRef>
              <c:f>CHF!$A$11</c:f>
              <c:strCache>
                <c:ptCount val="1"/>
                <c:pt idx="0">
                  <c:v>1/13/2026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CHF!$D$11</c:f>
              <c:numCache>
                <c:formatCode>General</c:formatCode>
                <c:ptCount val="1"/>
                <c:pt idx="0">
                  <c:v>-43392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7A-4820-896C-AC4DDFD9C9AA}"/>
            </c:ext>
          </c:extLst>
        </c:ser>
        <c:ser>
          <c:idx val="10"/>
          <c:order val="10"/>
          <c:tx>
            <c:strRef>
              <c:f>CHF!$A$12</c:f>
              <c:strCache>
                <c:ptCount val="1"/>
                <c:pt idx="0">
                  <c:v>1/20/2026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CHF!$D$12</c:f>
              <c:numCache>
                <c:formatCode>#,##0</c:formatCode>
                <c:ptCount val="1"/>
                <c:pt idx="0">
                  <c:v>-43207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7A-4820-896C-AC4DDFD9C9AA}"/>
            </c:ext>
          </c:extLst>
        </c:ser>
        <c:ser>
          <c:idx val="11"/>
          <c:order val="11"/>
          <c:tx>
            <c:strRef>
              <c:f>CHF!$A$13</c:f>
              <c:strCache>
                <c:ptCount val="1"/>
                <c:pt idx="0">
                  <c:v>1/27/2026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CHF!$D$13</c:f>
              <c:numCache>
                <c:formatCode>#,##0</c:formatCode>
                <c:ptCount val="1"/>
                <c:pt idx="0">
                  <c:v>-42893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37A-4820-896C-AC4DDFD9C9AA}"/>
            </c:ext>
          </c:extLst>
        </c:ser>
        <c:ser>
          <c:idx val="12"/>
          <c:order val="12"/>
          <c:tx>
            <c:strRef>
              <c:f>CHF!$A$14</c:f>
              <c:strCache>
                <c:ptCount val="1"/>
                <c:pt idx="0">
                  <c:v>2/3/2026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CHF!$D$14</c:f>
              <c:numCache>
                <c:formatCode>General</c:formatCode>
                <c:ptCount val="1"/>
                <c:pt idx="0">
                  <c:v>-40717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7A-4820-896C-AC4DDFD9C9AA}"/>
            </c:ext>
          </c:extLst>
        </c:ser>
        <c:ser>
          <c:idx val="13"/>
          <c:order val="13"/>
          <c:tx>
            <c:strRef>
              <c:f>CHF!$A$15</c:f>
              <c:strCache>
                <c:ptCount val="1"/>
                <c:pt idx="0">
                  <c:v>2/10/2026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CHF!$D$15</c:f>
              <c:numCache>
                <c:formatCode>General</c:formatCode>
                <c:ptCount val="1"/>
                <c:pt idx="0">
                  <c:v>-42259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7A-4820-896C-AC4DDFD9C9AA}"/>
            </c:ext>
          </c:extLst>
        </c:ser>
        <c:ser>
          <c:idx val="14"/>
          <c:order val="14"/>
          <c:tx>
            <c:strRef>
              <c:f>CHF!$A$16</c:f>
              <c:strCache>
                <c:ptCount val="1"/>
                <c:pt idx="0">
                  <c:v>2/17/2026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CHF!$D$16</c:f>
              <c:numCache>
                <c:formatCode>#,##0</c:formatCode>
                <c:ptCount val="1"/>
                <c:pt idx="0">
                  <c:v>-40881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37A-4820-896C-AC4DDFD9C9AA}"/>
            </c:ext>
          </c:extLst>
        </c:ser>
        <c:ser>
          <c:idx val="15"/>
          <c:order val="15"/>
          <c:tx>
            <c:strRef>
              <c:f>CHF!$A$17</c:f>
              <c:strCache>
                <c:ptCount val="1"/>
                <c:pt idx="0">
                  <c:v>2/24/2026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CHF!$D$17</c:f>
              <c:numCache>
                <c:formatCode>General</c:formatCode>
                <c:ptCount val="1"/>
                <c:pt idx="0">
                  <c:v>-41186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37A-4820-896C-AC4DDFD9C9AA}"/>
            </c:ext>
          </c:extLst>
        </c:ser>
        <c:ser>
          <c:idx val="16"/>
          <c:order val="16"/>
          <c:tx>
            <c:strRef>
              <c:f>CHF!$A$18</c:f>
              <c:strCache>
                <c:ptCount val="1"/>
                <c:pt idx="0">
                  <c:v>3/3/2026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CHF!$D$18</c:f>
              <c:numCache>
                <c:formatCode>General</c:formatCode>
                <c:ptCount val="1"/>
                <c:pt idx="0">
                  <c:v>-41283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37A-4820-896C-AC4DDFD9C9AA}"/>
            </c:ext>
          </c:extLst>
        </c:ser>
        <c:ser>
          <c:idx val="17"/>
          <c:order val="17"/>
          <c:tx>
            <c:strRef>
              <c:f>CHF!$A$19</c:f>
              <c:strCache>
                <c:ptCount val="1"/>
                <c:pt idx="0">
                  <c:v>3/10/2026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CHF!$D$19</c:f>
              <c:numCache>
                <c:formatCode>General</c:formatCode>
                <c:ptCount val="1"/>
                <c:pt idx="0">
                  <c:v>-41092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37A-4820-896C-AC4DDFD9C9AA}"/>
            </c:ext>
          </c:extLst>
        </c:ser>
        <c:ser>
          <c:idx val="18"/>
          <c:order val="18"/>
          <c:tx>
            <c:strRef>
              <c:f>CHF!$A$20</c:f>
              <c:strCache>
                <c:ptCount val="1"/>
                <c:pt idx="0">
                  <c:v>3/17/2026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CHF!$D$20</c:f>
              <c:numCache>
                <c:formatCode>General</c:formatCode>
                <c:ptCount val="1"/>
                <c:pt idx="0">
                  <c:v>-25213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37A-4820-896C-AC4DDFD9C9AA}"/>
            </c:ext>
          </c:extLst>
        </c:ser>
        <c:ser>
          <c:idx val="19"/>
          <c:order val="19"/>
          <c:tx>
            <c:strRef>
              <c:f>CHF!$A$21</c:f>
              <c:strCache>
                <c:ptCount val="1"/>
                <c:pt idx="0">
                  <c:v>3/24/2026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CHF!$D$21</c:f>
              <c:numCache>
                <c:formatCode>General</c:formatCode>
                <c:ptCount val="1"/>
                <c:pt idx="0">
                  <c:v>-27097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37A-4820-896C-AC4DDFD9C9AA}"/>
            </c:ext>
          </c:extLst>
        </c:ser>
        <c:ser>
          <c:idx val="20"/>
          <c:order val="20"/>
          <c:tx>
            <c:strRef>
              <c:f>CHF!$A$22</c:f>
              <c:strCache>
                <c:ptCount val="1"/>
                <c:pt idx="0">
                  <c:v>3/31/2026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CHF!$D$22</c:f>
              <c:numCache>
                <c:formatCode>General</c:formatCode>
                <c:ptCount val="1"/>
                <c:pt idx="0">
                  <c:v>-29871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7A-4820-896C-AC4DDFD9C9AA}"/>
            </c:ext>
          </c:extLst>
        </c:ser>
        <c:ser>
          <c:idx val="21"/>
          <c:order val="21"/>
          <c:tx>
            <c:strRef>
              <c:f>CHF!$A$23</c:f>
              <c:strCache>
                <c:ptCount val="1"/>
                <c:pt idx="0">
                  <c:v>4/7/2026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CHF!$D$23</c:f>
              <c:numCache>
                <c:formatCode>General</c:formatCode>
                <c:ptCount val="1"/>
                <c:pt idx="0">
                  <c:v>-30694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37A-4820-896C-AC4DDFD9C9AA}"/>
            </c:ext>
          </c:extLst>
        </c:ser>
        <c:ser>
          <c:idx val="22"/>
          <c:order val="22"/>
          <c:tx>
            <c:strRef>
              <c:f>CHF!$A$24</c:f>
              <c:strCache>
                <c:ptCount val="1"/>
                <c:pt idx="0">
                  <c:v>4/14/2026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CHF!$D$24</c:f>
              <c:numCache>
                <c:formatCode>General</c:formatCode>
                <c:ptCount val="1"/>
                <c:pt idx="0">
                  <c:v>-34097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37A-4820-896C-AC4DDFD9C9AA}"/>
            </c:ext>
          </c:extLst>
        </c:ser>
        <c:ser>
          <c:idx val="23"/>
          <c:order val="23"/>
          <c:tx>
            <c:strRef>
              <c:f>CHF!$A$25</c:f>
              <c:strCache>
                <c:ptCount val="1"/>
                <c:pt idx="0">
                  <c:v>4/21/2026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CHF!$D$25</c:f>
              <c:numCache>
                <c:formatCode>General</c:formatCode>
                <c:ptCount val="1"/>
                <c:pt idx="0">
                  <c:v>-33273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37A-4820-896C-AC4DDFD9C9AA}"/>
            </c:ext>
          </c:extLst>
        </c:ser>
        <c:ser>
          <c:idx val="24"/>
          <c:order val="24"/>
          <c:tx>
            <c:strRef>
              <c:f>CHF!$A$26</c:f>
              <c:strCache>
                <c:ptCount val="1"/>
                <c:pt idx="0">
                  <c:v>4/28/2026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CHF!$D$1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CHF!$D$26</c:f>
              <c:numCache>
                <c:formatCode>General</c:formatCode>
                <c:ptCount val="1"/>
                <c:pt idx="0">
                  <c:v>-35221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37A-4820-896C-AC4DDFD9C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4151856"/>
        <c:axId val="374152336"/>
      </c:barChart>
      <c:catAx>
        <c:axId val="37415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52336"/>
        <c:crosses val="autoZero"/>
        <c:auto val="1"/>
        <c:lblAlgn val="ctr"/>
        <c:lblOffset val="100"/>
        <c:noMultiLvlLbl val="0"/>
      </c:catAx>
      <c:valAx>
        <c:axId val="3741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5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GBP!$D$2:$D$26</c:f>
              <c:numCache>
                <c:formatCode>General</c:formatCode>
                <c:ptCount val="25"/>
                <c:pt idx="0">
                  <c:v>-81004</c:v>
                </c:pt>
                <c:pt idx="1">
                  <c:v>-79257</c:v>
                </c:pt>
                <c:pt idx="2">
                  <c:v>-93221</c:v>
                </c:pt>
                <c:pt idx="3">
                  <c:v>-80180</c:v>
                </c:pt>
                <c:pt idx="4">
                  <c:v>-75515</c:v>
                </c:pt>
                <c:pt idx="5">
                  <c:v>-48498</c:v>
                </c:pt>
                <c:pt idx="6">
                  <c:v>-41199</c:v>
                </c:pt>
                <c:pt idx="7">
                  <c:v>-33207</c:v>
                </c:pt>
                <c:pt idx="8">
                  <c:v>-30538</c:v>
                </c:pt>
                <c:pt idx="9">
                  <c:v>-25270</c:v>
                </c:pt>
                <c:pt idx="10">
                  <c:v>-21980</c:v>
                </c:pt>
                <c:pt idx="11">
                  <c:v>-16162</c:v>
                </c:pt>
                <c:pt idx="12">
                  <c:v>-13911</c:v>
                </c:pt>
                <c:pt idx="13">
                  <c:v>-25810</c:v>
                </c:pt>
                <c:pt idx="14">
                  <c:v>-42404</c:v>
                </c:pt>
                <c:pt idx="15">
                  <c:v>-57072</c:v>
                </c:pt>
                <c:pt idx="16">
                  <c:v>-72686</c:v>
                </c:pt>
                <c:pt idx="17">
                  <c:v>-84197</c:v>
                </c:pt>
                <c:pt idx="18">
                  <c:v>-65515</c:v>
                </c:pt>
                <c:pt idx="19">
                  <c:v>-58422</c:v>
                </c:pt>
                <c:pt idx="20">
                  <c:v>-52665</c:v>
                </c:pt>
                <c:pt idx="21">
                  <c:v>-56354</c:v>
                </c:pt>
                <c:pt idx="22">
                  <c:v>-54724</c:v>
                </c:pt>
                <c:pt idx="23">
                  <c:v>-52039</c:v>
                </c:pt>
                <c:pt idx="24">
                  <c:v>-60639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GBP!$D$1</c15:sqref>
                        </c15:formulaRef>
                      </c:ext>
                    </c:extLst>
                    <c:strCache>
                      <c:ptCount val="1"/>
                      <c:pt idx="0">
                        <c:v>Net Position (Longs - Shorts)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GBP!$A$2:$A$26</c15:sqref>
                        </c15:formulaRef>
                      </c:ext>
                    </c:extLst>
                    <c:strCache>
                      <c:ptCount val="25"/>
                      <c:pt idx="0">
                        <c:v>10/11/2025</c:v>
                      </c:pt>
                      <c:pt idx="1">
                        <c:v>18/11/2025</c:v>
                      </c:pt>
                      <c:pt idx="2">
                        <c:v>25/11/2025</c:v>
                      </c:pt>
                      <c:pt idx="3">
                        <c:v>2/12/2025</c:v>
                      </c:pt>
                      <c:pt idx="4">
                        <c:v>9/12/2025</c:v>
                      </c:pt>
                      <c:pt idx="5">
                        <c:v>16/12/2025</c:v>
                      </c:pt>
                      <c:pt idx="6">
                        <c:v>23/12/2025</c:v>
                      </c:pt>
                      <c:pt idx="7">
                        <c:v>30/12/2025</c:v>
                      </c:pt>
                      <c:pt idx="8">
                        <c:v>6/1/2026</c:v>
                      </c:pt>
                      <c:pt idx="9">
                        <c:v>13/1/2026</c:v>
                      </c:pt>
                      <c:pt idx="10">
                        <c:v>20/1/2026</c:v>
                      </c:pt>
                      <c:pt idx="11">
                        <c:v>27/1/2026</c:v>
                      </c:pt>
                      <c:pt idx="12">
                        <c:v>3/2/2026</c:v>
                      </c:pt>
                      <c:pt idx="13">
                        <c:v>10/2/2026</c:v>
                      </c:pt>
                      <c:pt idx="14">
                        <c:v>17/2/2026</c:v>
                      </c:pt>
                      <c:pt idx="15">
                        <c:v>24/2/2026</c:v>
                      </c:pt>
                      <c:pt idx="16">
                        <c:v>3/3/2026</c:v>
                      </c:pt>
                      <c:pt idx="17">
                        <c:v>10/3/2026</c:v>
                      </c:pt>
                      <c:pt idx="18">
                        <c:v>17/3/2026</c:v>
                      </c:pt>
                      <c:pt idx="19">
                        <c:v>24/3/2026</c:v>
                      </c:pt>
                      <c:pt idx="20">
                        <c:v>31/3/2026</c:v>
                      </c:pt>
                      <c:pt idx="21">
                        <c:v>4/7/2026</c:v>
                      </c:pt>
                      <c:pt idx="22">
                        <c:v>4/14/2026</c:v>
                      </c:pt>
                      <c:pt idx="23">
                        <c:v>4/21/2026</c:v>
                      </c:pt>
                      <c:pt idx="24">
                        <c:v>4/28/2026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0F6-4343-AF66-0FDDFEC64B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2166560"/>
        <c:axId val="1382163200"/>
      </c:barChart>
      <c:catAx>
        <c:axId val="138216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63200"/>
        <c:crosses val="autoZero"/>
        <c:auto val="1"/>
        <c:lblAlgn val="ctr"/>
        <c:lblOffset val="100"/>
        <c:noMultiLvlLbl val="0"/>
      </c:catAx>
      <c:valAx>
        <c:axId val="13821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66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JPY Net Position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733992363104144E-2"/>
          <c:y val="4.9052396878483832E-2"/>
          <c:w val="0.94217921357961099"/>
          <c:h val="0.843365198079337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JPY!$D$1</c:f>
              <c:strCache>
                <c:ptCount val="1"/>
                <c:pt idx="0">
                  <c:v>Net Position (Longs - Shorts)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979-46EF-85F4-A5AE6610743A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979-46EF-85F4-A5AE6610743A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979-46EF-85F4-A5AE6610743A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979-46EF-85F4-A5AE6610743A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979-46EF-85F4-A5AE6610743A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979-46EF-85F4-A5AE6610743A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979-46EF-85F4-A5AE6610743A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979-46EF-85F4-A5AE6610743A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1979-46EF-85F4-A5AE6610743A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1979-46EF-85F4-A5AE6610743A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1979-46EF-85F4-A5AE6610743A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1979-46EF-85F4-A5AE6610743A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1979-46EF-85F4-A5AE6610743A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1979-46EF-85F4-A5AE6610743A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1979-46EF-85F4-A5AE6610743A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1979-46EF-85F4-A5AE6610743A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1979-46EF-85F4-A5AE6610743A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1979-46EF-85F4-A5AE6610743A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1979-46EF-85F4-A5AE6610743A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0540-4EAE-B37A-61C292E63BC5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1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3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JPY!$A$2:$A$26</c:f>
              <c:strCache>
                <c:ptCount val="25"/>
                <c:pt idx="0">
                  <c:v>10/11/2025</c:v>
                </c:pt>
                <c:pt idx="1">
                  <c:v>18/11/2025</c:v>
                </c:pt>
                <c:pt idx="2">
                  <c:v>25/11/2025</c:v>
                </c:pt>
                <c:pt idx="3">
                  <c:v>2/12/2025</c:v>
                </c:pt>
                <c:pt idx="4">
                  <c:v>9/12/2025</c:v>
                </c:pt>
                <c:pt idx="5">
                  <c:v>16/12/2025</c:v>
                </c:pt>
                <c:pt idx="6">
                  <c:v>23/12/2025</c:v>
                </c:pt>
                <c:pt idx="7">
                  <c:v>30/12/2025</c:v>
                </c:pt>
                <c:pt idx="8">
                  <c:v>6/1/2026</c:v>
                </c:pt>
                <c:pt idx="9">
                  <c:v>13/1/2026</c:v>
                </c:pt>
                <c:pt idx="10">
                  <c:v>20/1/2026</c:v>
                </c:pt>
                <c:pt idx="11">
                  <c:v>27/1/2026</c:v>
                </c:pt>
                <c:pt idx="12">
                  <c:v>3/2/2026</c:v>
                </c:pt>
                <c:pt idx="13">
                  <c:v>10/2/2026</c:v>
                </c:pt>
                <c:pt idx="14">
                  <c:v>17/2/2026</c:v>
                </c:pt>
                <c:pt idx="15">
                  <c:v>24/2/2026</c:v>
                </c:pt>
                <c:pt idx="16">
                  <c:v>3/3/2026</c:v>
                </c:pt>
                <c:pt idx="17">
                  <c:v>10/3/2026</c:v>
                </c:pt>
                <c:pt idx="18">
                  <c:v>17/3/2026</c:v>
                </c:pt>
                <c:pt idx="19">
                  <c:v>24/3/2026</c:v>
                </c:pt>
                <c:pt idx="20">
                  <c:v>31/3/2026</c:v>
                </c:pt>
                <c:pt idx="21">
                  <c:v>4/7/2026</c:v>
                </c:pt>
                <c:pt idx="22">
                  <c:v> 2026-04-14</c:v>
                </c:pt>
                <c:pt idx="23">
                  <c:v>4/21/2026</c:v>
                </c:pt>
                <c:pt idx="24">
                  <c:v>4/28/2026</c:v>
                </c:pt>
              </c:strCache>
            </c:strRef>
          </c:cat>
          <c:val>
            <c:numRef>
              <c:f>JPY!$D$2:$D$26</c:f>
              <c:numCache>
                <c:formatCode>General</c:formatCode>
                <c:ptCount val="25"/>
                <c:pt idx="0">
                  <c:v>48476</c:v>
                </c:pt>
                <c:pt idx="1">
                  <c:v>31157</c:v>
                </c:pt>
                <c:pt idx="2">
                  <c:v>26517</c:v>
                </c:pt>
                <c:pt idx="3">
                  <c:v>36418</c:v>
                </c:pt>
                <c:pt idx="4">
                  <c:v>17448</c:v>
                </c:pt>
                <c:pt idx="5">
                  <c:v>-2942</c:v>
                </c:pt>
                <c:pt idx="6">
                  <c:v>1223</c:v>
                </c:pt>
                <c:pt idx="7">
                  <c:v>14068</c:v>
                </c:pt>
                <c:pt idx="8">
                  <c:v>8815</c:v>
                </c:pt>
                <c:pt idx="9">
                  <c:v>-45164</c:v>
                </c:pt>
                <c:pt idx="10">
                  <c:v>-44829</c:v>
                </c:pt>
                <c:pt idx="11">
                  <c:v>-33933</c:v>
                </c:pt>
                <c:pt idx="12">
                  <c:v>-19222</c:v>
                </c:pt>
                <c:pt idx="13">
                  <c:v>-19106</c:v>
                </c:pt>
                <c:pt idx="14">
                  <c:v>12955</c:v>
                </c:pt>
                <c:pt idx="15">
                  <c:v>11539</c:v>
                </c:pt>
                <c:pt idx="16">
                  <c:v>-16575</c:v>
                </c:pt>
                <c:pt idx="17">
                  <c:v>-41387</c:v>
                </c:pt>
                <c:pt idx="18">
                  <c:v>-67780</c:v>
                </c:pt>
                <c:pt idx="19">
                  <c:v>-62806</c:v>
                </c:pt>
                <c:pt idx="20">
                  <c:v>-72872</c:v>
                </c:pt>
                <c:pt idx="21">
                  <c:v>-93742</c:v>
                </c:pt>
                <c:pt idx="22">
                  <c:v>-83208</c:v>
                </c:pt>
                <c:pt idx="23">
                  <c:v>-94460</c:v>
                </c:pt>
                <c:pt idx="24">
                  <c:v>-102059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3-4AD5-813D-1E6AF78C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CAD!$A$2</c:f>
              <c:strCache>
                <c:ptCount val="1"/>
                <c:pt idx="0">
                  <c:v>11/10/2025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</c:f>
              <c:numCache>
                <c:formatCode>#,##0</c:formatCode>
                <c:ptCount val="1"/>
                <c:pt idx="0">
                  <c:v>-157635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6-4F13-B6F6-323D0140DAA2}"/>
            </c:ext>
          </c:extLst>
        </c:ser>
        <c:ser>
          <c:idx val="1"/>
          <c:order val="1"/>
          <c:tx>
            <c:strRef>
              <c:f>CAD!$A$3</c:f>
              <c:strCache>
                <c:ptCount val="1"/>
                <c:pt idx="0">
                  <c:v>11/18/2025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CAD!$D$3</c:f>
              <c:numCache>
                <c:formatCode>#,##0</c:formatCode>
                <c:ptCount val="1"/>
                <c:pt idx="0">
                  <c:v>-149099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6-4F13-B6F6-323D0140DAA2}"/>
            </c:ext>
          </c:extLst>
        </c:ser>
        <c:ser>
          <c:idx val="2"/>
          <c:order val="2"/>
          <c:tx>
            <c:strRef>
              <c:f>CAD!$A$4</c:f>
              <c:strCache>
                <c:ptCount val="1"/>
                <c:pt idx="0">
                  <c:v>11/25/2025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CAD!$D$4</c:f>
              <c:numCache>
                <c:formatCode>#,##0</c:formatCode>
                <c:ptCount val="1"/>
                <c:pt idx="0">
                  <c:v>-150414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6-4F13-B6F6-323D0140DAA2}"/>
            </c:ext>
          </c:extLst>
        </c:ser>
        <c:ser>
          <c:idx val="3"/>
          <c:order val="3"/>
          <c:tx>
            <c:strRef>
              <c:f>CAD!$A$5</c:f>
              <c:strCache>
                <c:ptCount val="1"/>
                <c:pt idx="0">
                  <c:v>12/2/2025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CAD!$D$5</c:f>
              <c:numCache>
                <c:formatCode>#,##0</c:formatCode>
                <c:ptCount val="1"/>
                <c:pt idx="0">
                  <c:v>-150047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6-4F13-B6F6-323D0140DAA2}"/>
            </c:ext>
          </c:extLst>
        </c:ser>
        <c:ser>
          <c:idx val="4"/>
          <c:order val="4"/>
          <c:tx>
            <c:strRef>
              <c:f>CAD!$A$6</c:f>
              <c:strCache>
                <c:ptCount val="1"/>
                <c:pt idx="0">
                  <c:v>12/9/2025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CAD!$D$6</c:f>
              <c:numCache>
                <c:formatCode>#,##0</c:formatCode>
                <c:ptCount val="1"/>
                <c:pt idx="0">
                  <c:v>-130600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6-4F13-B6F6-323D0140DAA2}"/>
            </c:ext>
          </c:extLst>
        </c:ser>
        <c:ser>
          <c:idx val="5"/>
          <c:order val="5"/>
          <c:tx>
            <c:strRef>
              <c:f>CAD!$A$7</c:f>
              <c:strCache>
                <c:ptCount val="1"/>
                <c:pt idx="0">
                  <c:v>12/16/2025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CAD!$D$7</c:f>
              <c:numCache>
                <c:formatCode>#,##0</c:formatCode>
                <c:ptCount val="1"/>
                <c:pt idx="0">
                  <c:v>-86640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6-4F13-B6F6-323D0140DAA2}"/>
            </c:ext>
          </c:extLst>
        </c:ser>
        <c:ser>
          <c:idx val="6"/>
          <c:order val="6"/>
          <c:tx>
            <c:strRef>
              <c:f>CAD!$A$8</c:f>
              <c:strCache>
                <c:ptCount val="1"/>
                <c:pt idx="0">
                  <c:v>12/23/2025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CAD!$D$8</c:f>
              <c:numCache>
                <c:formatCode>#,##0</c:formatCode>
                <c:ptCount val="1"/>
                <c:pt idx="0">
                  <c:v>-55793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6-4F13-B6F6-323D0140DAA2}"/>
            </c:ext>
          </c:extLst>
        </c:ser>
        <c:ser>
          <c:idx val="7"/>
          <c:order val="7"/>
          <c:tx>
            <c:strRef>
              <c:f>CAD!$A$9</c:f>
              <c:strCache>
                <c:ptCount val="1"/>
                <c:pt idx="0">
                  <c:v>12/30/2025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CAD!$D$9</c:f>
              <c:numCache>
                <c:formatCode>#,##0</c:formatCode>
                <c:ptCount val="1"/>
                <c:pt idx="0">
                  <c:v>-40511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46-4F13-B6F6-323D0140DAA2}"/>
            </c:ext>
          </c:extLst>
        </c:ser>
        <c:ser>
          <c:idx val="8"/>
          <c:order val="8"/>
          <c:tx>
            <c:strRef>
              <c:f>CAD!$A$10</c:f>
              <c:strCache>
                <c:ptCount val="1"/>
                <c:pt idx="0">
                  <c:v>1/6/2026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CAD!$D$10</c:f>
              <c:numCache>
                <c:formatCode>#,##0</c:formatCode>
                <c:ptCount val="1"/>
                <c:pt idx="0">
                  <c:v>-40585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46-4F13-B6F6-323D0140DAA2}"/>
            </c:ext>
          </c:extLst>
        </c:ser>
        <c:ser>
          <c:idx val="9"/>
          <c:order val="9"/>
          <c:tx>
            <c:strRef>
              <c:f>CAD!$A$11</c:f>
              <c:strCache>
                <c:ptCount val="1"/>
                <c:pt idx="0">
                  <c:v>1/13/2026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CAD!$D$11</c:f>
              <c:numCache>
                <c:formatCode>#,##0</c:formatCode>
                <c:ptCount val="1"/>
                <c:pt idx="0">
                  <c:v>-42250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46-4F13-B6F6-323D0140DAA2}"/>
            </c:ext>
          </c:extLst>
        </c:ser>
        <c:ser>
          <c:idx val="10"/>
          <c:order val="10"/>
          <c:tx>
            <c:strRef>
              <c:f>CAD!$A$12</c:f>
              <c:strCache>
                <c:ptCount val="1"/>
                <c:pt idx="0">
                  <c:v>1/20/2026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CAD!$D$12</c:f>
              <c:numCache>
                <c:formatCode>#,##0</c:formatCode>
                <c:ptCount val="1"/>
                <c:pt idx="0">
                  <c:v>-41785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46-4F13-B6F6-323D0140DAA2}"/>
            </c:ext>
          </c:extLst>
        </c:ser>
        <c:ser>
          <c:idx val="11"/>
          <c:order val="11"/>
          <c:tx>
            <c:strRef>
              <c:f>CAD!$A$13</c:f>
              <c:strCache>
                <c:ptCount val="1"/>
                <c:pt idx="0">
                  <c:v>1/27/2026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CAD!$D$13</c:f>
              <c:numCache>
                <c:formatCode>#,##0</c:formatCode>
                <c:ptCount val="1"/>
                <c:pt idx="0">
                  <c:v>-16046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46-4F13-B6F6-323D0140DAA2}"/>
            </c:ext>
          </c:extLst>
        </c:ser>
        <c:ser>
          <c:idx val="12"/>
          <c:order val="12"/>
          <c:tx>
            <c:strRef>
              <c:f>CAD!$A$14</c:f>
              <c:strCache>
                <c:ptCount val="1"/>
                <c:pt idx="0">
                  <c:v>2/3/2026</c:v>
                </c:pt>
              </c:strCache>
            </c:strRef>
          </c:tx>
          <c:spPr>
            <a:pattFill prst="narHorz">
              <a:fgClr>
                <a:schemeClr val="accent1">
                  <a:lumMod val="80000"/>
                  <a:lumOff val="20000"/>
                </a:schemeClr>
              </a:fgClr>
              <a:bgClr>
                <a:schemeClr val="accent1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CAD!$D$14</c:f>
              <c:numCache>
                <c:formatCode>#,##0</c:formatCode>
                <c:ptCount val="1"/>
                <c:pt idx="0">
                  <c:v>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46-4F13-B6F6-323D0140DAA2}"/>
            </c:ext>
          </c:extLst>
        </c:ser>
        <c:ser>
          <c:idx val="13"/>
          <c:order val="13"/>
          <c:tx>
            <c:strRef>
              <c:f>CAD!$A$15</c:f>
              <c:strCache>
                <c:ptCount val="1"/>
                <c:pt idx="0">
                  <c:v>2/10/2026</c:v>
                </c:pt>
              </c:strCache>
            </c:strRef>
          </c:tx>
          <c:spPr>
            <a:pattFill prst="narHorz">
              <a:fgClr>
                <a:schemeClr val="accent2">
                  <a:lumMod val="80000"/>
                  <a:lumOff val="20000"/>
                </a:schemeClr>
              </a:fgClr>
              <a:bgClr>
                <a:schemeClr val="accent2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CAD!$D$15</c:f>
              <c:numCache>
                <c:formatCode>#,##0</c:formatCode>
                <c:ptCount val="1"/>
                <c:pt idx="0">
                  <c:v>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46-4F13-B6F6-323D0140DAA2}"/>
            </c:ext>
          </c:extLst>
        </c:ser>
        <c:ser>
          <c:idx val="14"/>
          <c:order val="14"/>
          <c:tx>
            <c:strRef>
              <c:f>CAD!$A$16</c:f>
              <c:strCache>
                <c:ptCount val="1"/>
                <c:pt idx="0">
                  <c:v>2/17/2026</c:v>
                </c:pt>
              </c:strCache>
            </c:strRef>
          </c:tx>
          <c:spPr>
            <a:pattFill prst="narHorz">
              <a:fgClr>
                <a:schemeClr val="accent3">
                  <a:lumMod val="80000"/>
                  <a:lumOff val="20000"/>
                </a:schemeClr>
              </a:fgClr>
              <a:bgClr>
                <a:schemeClr val="accent3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CAD!$D$16</c:f>
              <c:numCache>
                <c:formatCode>#,##0</c:formatCode>
                <c:ptCount val="1"/>
                <c:pt idx="0">
                  <c:v>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A46-4F13-B6F6-323D0140DAA2}"/>
            </c:ext>
          </c:extLst>
        </c:ser>
        <c:ser>
          <c:idx val="15"/>
          <c:order val="15"/>
          <c:tx>
            <c:strRef>
              <c:f>CAD!$A$17</c:f>
              <c:strCache>
                <c:ptCount val="1"/>
                <c:pt idx="0">
                  <c:v>2/24/2026</c:v>
                </c:pt>
              </c:strCache>
            </c:strRef>
          </c:tx>
          <c:spPr>
            <a:pattFill prst="narHorz">
              <a:fgClr>
                <a:schemeClr val="accent4">
                  <a:lumMod val="80000"/>
                  <a:lumOff val="20000"/>
                </a:schemeClr>
              </a:fgClr>
              <a:bgClr>
                <a:schemeClr val="accent4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CAD!$D$17</c:f>
              <c:numCache>
                <c:formatCode>#,##0</c:formatCode>
                <c:ptCount val="1"/>
                <c:pt idx="0">
                  <c:v>27578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A46-4F13-B6F6-323D0140DAA2}"/>
            </c:ext>
          </c:extLst>
        </c:ser>
        <c:ser>
          <c:idx val="16"/>
          <c:order val="16"/>
          <c:tx>
            <c:strRef>
              <c:f>CAD!$A$18</c:f>
              <c:strCache>
                <c:ptCount val="1"/>
                <c:pt idx="0">
                  <c:v>3/3/2026</c:v>
                </c:pt>
              </c:strCache>
            </c:strRef>
          </c:tx>
          <c:spPr>
            <a:pattFill prst="narHorz">
              <a:fgClr>
                <a:schemeClr val="accent5">
                  <a:lumMod val="80000"/>
                  <a:lumOff val="20000"/>
                </a:schemeClr>
              </a:fgClr>
              <a:bgClr>
                <a:schemeClr val="accent5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CAD!$D$18</c:f>
              <c:numCache>
                <c:formatCode>#,##0</c:formatCode>
                <c:ptCount val="1"/>
                <c:pt idx="0">
                  <c:v>21050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46-4F13-B6F6-323D0140DAA2}"/>
            </c:ext>
          </c:extLst>
        </c:ser>
        <c:ser>
          <c:idx val="17"/>
          <c:order val="17"/>
          <c:tx>
            <c:strRef>
              <c:f>CAD!$A$19</c:f>
              <c:strCache>
                <c:ptCount val="1"/>
                <c:pt idx="0">
                  <c:v>3/10/2026</c:v>
                </c:pt>
              </c:strCache>
            </c:strRef>
          </c:tx>
          <c:spPr>
            <a:pattFill prst="narHorz">
              <a:fgClr>
                <a:schemeClr val="accent6">
                  <a:lumMod val="80000"/>
                  <a:lumOff val="20000"/>
                </a:schemeClr>
              </a:fgClr>
              <a:bgClr>
                <a:schemeClr val="accent6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CAD!$D$19</c:f>
              <c:numCache>
                <c:formatCode>#,##0</c:formatCode>
                <c:ptCount val="1"/>
                <c:pt idx="0">
                  <c:v>36159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A46-4F13-B6F6-323D0140DAA2}"/>
            </c:ext>
          </c:extLst>
        </c:ser>
        <c:ser>
          <c:idx val="18"/>
          <c:order val="18"/>
          <c:tx>
            <c:strRef>
              <c:f>CAD!$A$20</c:f>
              <c:strCache>
                <c:ptCount val="1"/>
                <c:pt idx="0">
                  <c:v>3/17/2026</c:v>
                </c:pt>
              </c:strCache>
            </c:strRef>
          </c:tx>
          <c:spPr>
            <a:pattFill prst="narHorz">
              <a:fgClr>
                <a:schemeClr val="accent1">
                  <a:lumMod val="80000"/>
                </a:schemeClr>
              </a:fgClr>
              <a:bgClr>
                <a:schemeClr val="accent1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CAD!$D$20</c:f>
              <c:numCache>
                <c:formatCode>#,##0</c:formatCode>
                <c:ptCount val="1"/>
                <c:pt idx="0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A46-4F13-B6F6-323D0140DAA2}"/>
            </c:ext>
          </c:extLst>
        </c:ser>
        <c:ser>
          <c:idx val="19"/>
          <c:order val="19"/>
          <c:tx>
            <c:strRef>
              <c:f>CAD!$A$21</c:f>
              <c:strCache>
                <c:ptCount val="1"/>
                <c:pt idx="0">
                  <c:v>3/24/2026</c:v>
                </c:pt>
              </c:strCache>
            </c:strRef>
          </c:tx>
          <c:spPr>
            <a:pattFill prst="narHorz">
              <a:fgClr>
                <a:schemeClr val="accent2">
                  <a:lumMod val="80000"/>
                </a:schemeClr>
              </a:fgClr>
              <a:bgClr>
                <a:schemeClr val="accent2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CAD!$D$21</c:f>
              <c:numCache>
                <c:formatCode>#,##0</c:formatCode>
                <c:ptCount val="1"/>
                <c:pt idx="0">
                  <c:v>-1602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A46-4F13-B6F6-323D0140DAA2}"/>
            </c:ext>
          </c:extLst>
        </c:ser>
        <c:ser>
          <c:idx val="20"/>
          <c:order val="20"/>
          <c:tx>
            <c:strRef>
              <c:f>CAD!$A$22</c:f>
              <c:strCache>
                <c:ptCount val="1"/>
                <c:pt idx="0">
                  <c:v>3/31/2026</c:v>
                </c:pt>
              </c:strCache>
            </c:strRef>
          </c:tx>
          <c:spPr>
            <a:pattFill prst="narHorz">
              <a:fgClr>
                <a:schemeClr val="accent3">
                  <a:lumMod val="80000"/>
                </a:schemeClr>
              </a:fgClr>
              <a:bgClr>
                <a:schemeClr val="accent3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CAD!$D$22</c:f>
              <c:numCache>
                <c:formatCode>General</c:formatCode>
                <c:ptCount val="1"/>
                <c:pt idx="0">
                  <c:v>-32684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F11-A68A-951FC8723B9A}"/>
            </c:ext>
          </c:extLst>
        </c:ser>
        <c:ser>
          <c:idx val="21"/>
          <c:order val="21"/>
          <c:tx>
            <c:strRef>
              <c:f>CAD!$A$23</c:f>
              <c:strCache>
                <c:ptCount val="1"/>
                <c:pt idx="0">
                  <c:v>4/7/2026</c:v>
                </c:pt>
              </c:strCache>
            </c:strRef>
          </c:tx>
          <c:spPr>
            <a:pattFill prst="narHorz">
              <a:fgClr>
                <a:schemeClr val="accent4">
                  <a:lumMod val="80000"/>
                </a:schemeClr>
              </a:fgClr>
              <a:bgClr>
                <a:schemeClr val="accent4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CAD!$D$23</c:f>
              <c:numCache>
                <c:formatCode>General</c:formatCode>
                <c:ptCount val="1"/>
                <c:pt idx="0">
                  <c:v>-55648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1-4F11-A68A-951FC8723B9A}"/>
            </c:ext>
          </c:extLst>
        </c:ser>
        <c:ser>
          <c:idx val="22"/>
          <c:order val="22"/>
          <c:tx>
            <c:strRef>
              <c:f>CAD!$A$24</c:f>
              <c:strCache>
                <c:ptCount val="1"/>
                <c:pt idx="0">
                  <c:v>4/14/2026</c:v>
                </c:pt>
              </c:strCache>
            </c:strRef>
          </c:tx>
          <c:spPr>
            <a:pattFill prst="narHorz">
              <a:fgClr>
                <a:schemeClr val="accent5">
                  <a:lumMod val="80000"/>
                </a:schemeClr>
              </a:fgClr>
              <a:bgClr>
                <a:schemeClr val="accent5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CAD!$D$24</c:f>
              <c:numCache>
                <c:formatCode>General</c:formatCode>
                <c:ptCount val="1"/>
                <c:pt idx="0">
                  <c:v>-78272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21-4F11-A68A-951FC8723B9A}"/>
            </c:ext>
          </c:extLst>
        </c:ser>
        <c:ser>
          <c:idx val="23"/>
          <c:order val="23"/>
          <c:tx>
            <c:strRef>
              <c:f>CAD!$A$25</c:f>
              <c:strCache>
                <c:ptCount val="1"/>
                <c:pt idx="0">
                  <c:v>4/21/2026</c:v>
                </c:pt>
              </c:strCache>
            </c:strRef>
          </c:tx>
          <c:spPr>
            <a:pattFill prst="narHorz">
              <a:fgClr>
                <a:schemeClr val="accent6">
                  <a:lumMod val="80000"/>
                </a:schemeClr>
              </a:fgClr>
              <a:bgClr>
                <a:schemeClr val="accent6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CAD!$D$25</c:f>
              <c:numCache>
                <c:formatCode>General</c:formatCode>
                <c:ptCount val="1"/>
                <c:pt idx="0">
                  <c:v>-58834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21-4F11-A68A-951FC8723B9A}"/>
            </c:ext>
          </c:extLst>
        </c:ser>
        <c:ser>
          <c:idx val="24"/>
          <c:order val="24"/>
          <c:tx>
            <c:strRef>
              <c:f>CAD!$A$26</c:f>
              <c:strCache>
                <c:ptCount val="1"/>
                <c:pt idx="0">
                  <c:v>4/28/2026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  <a:lumOff val="40000"/>
                </a:schemeClr>
              </a:fgClr>
              <a:bgClr>
                <a:schemeClr val="accent1">
                  <a:lumMod val="60000"/>
                  <a:lumOff val="4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  <a:lumOff val="4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CAD!$D$26</c:f>
              <c:numCache>
                <c:formatCode>General</c:formatCode>
                <c:ptCount val="1"/>
                <c:pt idx="0">
                  <c:v>-38476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21-4F11-A68A-951FC8723B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2306368"/>
        <c:axId val="62318368"/>
      </c:barChart>
      <c:catAx>
        <c:axId val="623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8368"/>
        <c:crosses val="autoZero"/>
        <c:auto val="1"/>
        <c:lblAlgn val="ctr"/>
        <c:lblOffset val="100"/>
        <c:noMultiLvlLbl val="0"/>
      </c:catAx>
      <c:valAx>
        <c:axId val="623183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NZD!$A$2</c:f>
              <c:strCache>
                <c:ptCount val="1"/>
                <c:pt idx="0">
                  <c:v>11/10/2025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</c:f>
              <c:numCache>
                <c:formatCode>#,##0</c:formatCode>
                <c:ptCount val="1"/>
                <c:pt idx="0">
                  <c:v>-44069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9-487E-A2B3-0F4BCABC4FE6}"/>
            </c:ext>
          </c:extLst>
        </c:ser>
        <c:ser>
          <c:idx val="1"/>
          <c:order val="1"/>
          <c:tx>
            <c:strRef>
              <c:f>NZD!$A$3</c:f>
              <c:strCache>
                <c:ptCount val="1"/>
                <c:pt idx="0">
                  <c:v>11/18/2025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NZD!$D$3</c:f>
              <c:numCache>
                <c:formatCode>#,##0</c:formatCode>
                <c:ptCount val="1"/>
                <c:pt idx="0">
                  <c:v>-49257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9-487E-A2B3-0F4BCABC4FE6}"/>
            </c:ext>
          </c:extLst>
        </c:ser>
        <c:ser>
          <c:idx val="2"/>
          <c:order val="2"/>
          <c:tx>
            <c:strRef>
              <c:f>NZD!$A$4</c:f>
              <c:strCache>
                <c:ptCount val="1"/>
                <c:pt idx="0">
                  <c:v>11/25/2025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NZD!$D$4</c:f>
              <c:numCache>
                <c:formatCode>#,##0</c:formatCode>
                <c:ptCount val="1"/>
                <c:pt idx="0">
                  <c:v>-52071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69-487E-A2B3-0F4BCABC4FE6}"/>
            </c:ext>
          </c:extLst>
        </c:ser>
        <c:ser>
          <c:idx val="3"/>
          <c:order val="3"/>
          <c:tx>
            <c:strRef>
              <c:f>NZD!$A$5</c:f>
              <c:strCache>
                <c:ptCount val="1"/>
                <c:pt idx="0">
                  <c:v>12/2/2025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NZD!$D$5</c:f>
              <c:numCache>
                <c:formatCode>#,##0</c:formatCode>
                <c:ptCount val="1"/>
                <c:pt idx="0">
                  <c:v>-53116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69-487E-A2B3-0F4BCABC4FE6}"/>
            </c:ext>
          </c:extLst>
        </c:ser>
        <c:ser>
          <c:idx val="4"/>
          <c:order val="4"/>
          <c:tx>
            <c:strRef>
              <c:f>NZD!$A$6</c:f>
              <c:strCache>
                <c:ptCount val="1"/>
                <c:pt idx="0">
                  <c:v>12/9/2025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NZD!$D$6</c:f>
              <c:numCache>
                <c:formatCode>#,##0</c:formatCode>
                <c:ptCount val="1"/>
                <c:pt idx="0">
                  <c:v>-56781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69-487E-A2B3-0F4BCABC4FE6}"/>
            </c:ext>
          </c:extLst>
        </c:ser>
        <c:ser>
          <c:idx val="5"/>
          <c:order val="5"/>
          <c:tx>
            <c:strRef>
              <c:f>NZD!$A$7</c:f>
              <c:strCache>
                <c:ptCount val="1"/>
                <c:pt idx="0">
                  <c:v>12/16/2025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NZD!$D$7</c:f>
              <c:numCache>
                <c:formatCode>#,##0</c:formatCode>
                <c:ptCount val="1"/>
                <c:pt idx="0">
                  <c:v>-48043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69-487E-A2B3-0F4BCABC4FE6}"/>
            </c:ext>
          </c:extLst>
        </c:ser>
        <c:ser>
          <c:idx val="6"/>
          <c:order val="6"/>
          <c:tx>
            <c:strRef>
              <c:f>NZD!$A$8</c:f>
              <c:strCache>
                <c:ptCount val="1"/>
                <c:pt idx="0">
                  <c:v>12/23/2025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NZD!$D$8</c:f>
              <c:numCache>
                <c:formatCode>#,##0</c:formatCode>
                <c:ptCount val="1"/>
                <c:pt idx="0">
                  <c:v>-44034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69-487E-A2B3-0F4BCABC4FE6}"/>
            </c:ext>
          </c:extLst>
        </c:ser>
        <c:ser>
          <c:idx val="7"/>
          <c:order val="7"/>
          <c:tx>
            <c:strRef>
              <c:f>NZD!$A$9</c:f>
              <c:strCache>
                <c:ptCount val="1"/>
                <c:pt idx="0">
                  <c:v>12/30/2025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NZD!$D$9</c:f>
              <c:numCache>
                <c:formatCode>#,##0</c:formatCode>
                <c:ptCount val="1"/>
                <c:pt idx="0">
                  <c:v>-43254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69-487E-A2B3-0F4BCABC4FE6}"/>
            </c:ext>
          </c:extLst>
        </c:ser>
        <c:ser>
          <c:idx val="8"/>
          <c:order val="8"/>
          <c:tx>
            <c:strRef>
              <c:f>NZD!$A$10</c:f>
              <c:strCache>
                <c:ptCount val="1"/>
                <c:pt idx="0">
                  <c:v>1/6/2026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NZD!$D$10</c:f>
              <c:numCache>
                <c:formatCode>#,##0</c:formatCode>
                <c:ptCount val="1"/>
                <c:pt idx="0">
                  <c:v>-43363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69-487E-A2B3-0F4BCABC4FE6}"/>
            </c:ext>
          </c:extLst>
        </c:ser>
        <c:ser>
          <c:idx val="9"/>
          <c:order val="9"/>
          <c:tx>
            <c:strRef>
              <c:f>NZD!$A$11</c:f>
              <c:strCache>
                <c:ptCount val="1"/>
                <c:pt idx="0">
                  <c:v>1/13/2026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NZD!$D$11</c:f>
              <c:numCache>
                <c:formatCode>#,##0</c:formatCode>
                <c:ptCount val="1"/>
                <c:pt idx="0">
                  <c:v>-48851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69-487E-A2B3-0F4BCABC4FE6}"/>
            </c:ext>
          </c:extLst>
        </c:ser>
        <c:ser>
          <c:idx val="10"/>
          <c:order val="10"/>
          <c:tx>
            <c:strRef>
              <c:f>NZD!$A$12</c:f>
              <c:strCache>
                <c:ptCount val="1"/>
                <c:pt idx="0">
                  <c:v>1/20/2026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NZD!$D$12</c:f>
              <c:numCache>
                <c:formatCode>#,##0</c:formatCode>
                <c:ptCount val="1"/>
                <c:pt idx="0">
                  <c:v>-49610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D69-487E-A2B3-0F4BCABC4FE6}"/>
            </c:ext>
          </c:extLst>
        </c:ser>
        <c:ser>
          <c:idx val="11"/>
          <c:order val="11"/>
          <c:tx>
            <c:strRef>
              <c:f>NZD!$A$13</c:f>
              <c:strCache>
                <c:ptCount val="1"/>
                <c:pt idx="0">
                  <c:v>1/27/2026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NZD!$D$13</c:f>
              <c:numCache>
                <c:formatCode>#,##0</c:formatCode>
                <c:ptCount val="1"/>
                <c:pt idx="0">
                  <c:v>-47745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69-487E-A2B3-0F4BCABC4FE6}"/>
            </c:ext>
          </c:extLst>
        </c:ser>
        <c:ser>
          <c:idx val="12"/>
          <c:order val="12"/>
          <c:tx>
            <c:strRef>
              <c:f>NZD!$A$14</c:f>
              <c:strCache>
                <c:ptCount val="1"/>
                <c:pt idx="0">
                  <c:v>2/3/2026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NZD!$D$14</c:f>
              <c:numCache>
                <c:formatCode>#,##0</c:formatCode>
                <c:ptCount val="1"/>
                <c:pt idx="0">
                  <c:v>-34294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D69-487E-A2B3-0F4BCABC4FE6}"/>
            </c:ext>
          </c:extLst>
        </c:ser>
        <c:ser>
          <c:idx val="13"/>
          <c:order val="13"/>
          <c:tx>
            <c:strRef>
              <c:f>NZD!$A$15</c:f>
              <c:strCache>
                <c:ptCount val="1"/>
                <c:pt idx="0">
                  <c:v>2/10/2026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NZD!$D$15</c:f>
              <c:numCache>
                <c:formatCode>#,##0</c:formatCode>
                <c:ptCount val="1"/>
                <c:pt idx="0">
                  <c:v>-34919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D69-487E-A2B3-0F4BCABC4FE6}"/>
            </c:ext>
          </c:extLst>
        </c:ser>
        <c:ser>
          <c:idx val="14"/>
          <c:order val="14"/>
          <c:tx>
            <c:strRef>
              <c:f>NZD!$A$16</c:f>
              <c:strCache>
                <c:ptCount val="1"/>
                <c:pt idx="0">
                  <c:v>2/17/2026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NZD!$D$16</c:f>
              <c:numCache>
                <c:formatCode>#,##0</c:formatCode>
                <c:ptCount val="1"/>
                <c:pt idx="0">
                  <c:v>-35013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D69-487E-A2B3-0F4BCABC4FE6}"/>
            </c:ext>
          </c:extLst>
        </c:ser>
        <c:ser>
          <c:idx val="15"/>
          <c:order val="15"/>
          <c:tx>
            <c:strRef>
              <c:f>NZD!$A$17</c:f>
              <c:strCache>
                <c:ptCount val="1"/>
                <c:pt idx="0">
                  <c:v>2/24/2026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NZD!$D$17</c:f>
              <c:numCache>
                <c:formatCode>#,##0</c:formatCode>
                <c:ptCount val="1"/>
                <c:pt idx="0">
                  <c:v>-29567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D69-487E-A2B3-0F4BCABC4FE6}"/>
            </c:ext>
          </c:extLst>
        </c:ser>
        <c:ser>
          <c:idx val="16"/>
          <c:order val="16"/>
          <c:tx>
            <c:strRef>
              <c:f>NZD!$A$18</c:f>
              <c:strCache>
                <c:ptCount val="1"/>
                <c:pt idx="0">
                  <c:v>3/3/2026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NZD!$D$18</c:f>
              <c:numCache>
                <c:formatCode>#,##0</c:formatCode>
                <c:ptCount val="1"/>
                <c:pt idx="0">
                  <c:v>-34334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D69-487E-A2B3-0F4BCABC4FE6}"/>
            </c:ext>
          </c:extLst>
        </c:ser>
        <c:ser>
          <c:idx val="17"/>
          <c:order val="17"/>
          <c:tx>
            <c:strRef>
              <c:f>NZD!$A$19</c:f>
              <c:strCache>
                <c:ptCount val="1"/>
                <c:pt idx="0">
                  <c:v>3/10/2026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NZD!$D$19</c:f>
              <c:numCache>
                <c:formatCode>#,##0</c:formatCode>
                <c:ptCount val="1"/>
                <c:pt idx="0">
                  <c:v>-37111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D69-487E-A2B3-0F4BCABC4FE6}"/>
            </c:ext>
          </c:extLst>
        </c:ser>
        <c:ser>
          <c:idx val="18"/>
          <c:order val="18"/>
          <c:tx>
            <c:strRef>
              <c:f>NZD!$A$20</c:f>
              <c:strCache>
                <c:ptCount val="1"/>
                <c:pt idx="0">
                  <c:v>3/17/2026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NZD!$D$20</c:f>
              <c:numCache>
                <c:formatCode>#,##0</c:formatCode>
                <c:ptCount val="1"/>
                <c:pt idx="0">
                  <c:v>-23057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D69-487E-A2B3-0F4BCABC4FE6}"/>
            </c:ext>
          </c:extLst>
        </c:ser>
        <c:ser>
          <c:idx val="19"/>
          <c:order val="19"/>
          <c:tx>
            <c:strRef>
              <c:f>NZD!$A$21</c:f>
              <c:strCache>
                <c:ptCount val="1"/>
                <c:pt idx="0">
                  <c:v>3/24/2026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NZD!$D$21</c:f>
              <c:numCache>
                <c:formatCode>#,##0</c:formatCode>
                <c:ptCount val="1"/>
                <c:pt idx="0">
                  <c:v>-27006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D69-487E-A2B3-0F4BCABC4FE6}"/>
            </c:ext>
          </c:extLst>
        </c:ser>
        <c:ser>
          <c:idx val="20"/>
          <c:order val="20"/>
          <c:tx>
            <c:strRef>
              <c:f>NZD!$A$22</c:f>
              <c:strCache>
                <c:ptCount val="1"/>
                <c:pt idx="0">
                  <c:v>3/31/2026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NZD!$D$22</c:f>
              <c:numCache>
                <c:formatCode>#,##0</c:formatCode>
                <c:ptCount val="1"/>
                <c:pt idx="0">
                  <c:v>-28588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D69-487E-A2B3-0F4BCABC4FE6}"/>
            </c:ext>
          </c:extLst>
        </c:ser>
        <c:ser>
          <c:idx val="21"/>
          <c:order val="21"/>
          <c:tx>
            <c:strRef>
              <c:f>NZD!$A$23</c:f>
              <c:strCache>
                <c:ptCount val="1"/>
                <c:pt idx="0">
                  <c:v>4/7/2026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NZD!$D$23</c:f>
              <c:numCache>
                <c:formatCode>#,##0</c:formatCode>
                <c:ptCount val="1"/>
                <c:pt idx="0">
                  <c:v>-36075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D69-487E-A2B3-0F4BCABC4FE6}"/>
            </c:ext>
          </c:extLst>
        </c:ser>
        <c:ser>
          <c:idx val="22"/>
          <c:order val="22"/>
          <c:tx>
            <c:strRef>
              <c:f>NZD!$A$24</c:f>
              <c:strCache>
                <c:ptCount val="1"/>
                <c:pt idx="0">
                  <c:v>4/14/2026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NZD!$D$24</c:f>
              <c:numCache>
                <c:formatCode>#,##0</c:formatCode>
                <c:ptCount val="1"/>
                <c:pt idx="0">
                  <c:v>-42276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D69-487E-A2B3-0F4BCABC4FE6}"/>
            </c:ext>
          </c:extLst>
        </c:ser>
        <c:ser>
          <c:idx val="23"/>
          <c:order val="23"/>
          <c:tx>
            <c:strRef>
              <c:f>NZD!$A$25</c:f>
              <c:strCache>
                <c:ptCount val="1"/>
                <c:pt idx="0">
                  <c:v>4/21/2026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NZD!$D$25</c:f>
              <c:numCache>
                <c:formatCode>#,##0</c:formatCode>
                <c:ptCount val="1"/>
                <c:pt idx="0">
                  <c:v>-48454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D69-487E-A2B3-0F4BCABC4FE6}"/>
            </c:ext>
          </c:extLst>
        </c:ser>
        <c:ser>
          <c:idx val="24"/>
          <c:order val="24"/>
          <c:tx>
            <c:strRef>
              <c:f>NZD!$A$26</c:f>
              <c:strCache>
                <c:ptCount val="1"/>
                <c:pt idx="0">
                  <c:v>4/28/2026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NZD!$D$1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NZD!$D$26</c:f>
              <c:numCache>
                <c:formatCode>#,##0</c:formatCode>
                <c:ptCount val="1"/>
                <c:pt idx="0">
                  <c:v>-46322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D69-487E-A2B3-0F4BCABC4F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4193136"/>
        <c:axId val="374196976"/>
      </c:barChart>
      <c:catAx>
        <c:axId val="37419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96976"/>
        <c:crosses val="autoZero"/>
        <c:auto val="1"/>
        <c:lblAlgn val="ctr"/>
        <c:lblOffset val="100"/>
        <c:noMultiLvlLbl val="0"/>
      </c:catAx>
      <c:valAx>
        <c:axId val="3741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9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57148</xdr:colOff>
      <xdr:row>0</xdr:row>
      <xdr:rowOff>9525</xdr:rowOff>
    </xdr:from>
    <xdr:to>
      <xdr:col>17</xdr:col>
      <xdr:colOff>590549</xdr:colOff>
      <xdr:row>19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4D4AA-58BB-A70D-902A-CB72183F9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1</xdr:row>
      <xdr:rowOff>38100</xdr:rowOff>
    </xdr:from>
    <xdr:ext cx="6705600" cy="36861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EB16D-0E73-4F1D-80AB-506F28CC2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0</xdr:row>
      <xdr:rowOff>104775</xdr:rowOff>
    </xdr:from>
    <xdr:to>
      <xdr:col>19</xdr:col>
      <xdr:colOff>323850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89EDD-7D1E-3E50-4278-B52636E39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142874</xdr:rowOff>
    </xdr:from>
    <xdr:to>
      <xdr:col>21</xdr:col>
      <xdr:colOff>28575</xdr:colOff>
      <xdr:row>17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C5EB4-0B62-F4E3-6757-3245A0602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371475</xdr:rowOff>
    </xdr:from>
    <xdr:to>
      <xdr:col>19</xdr:col>
      <xdr:colOff>523875</xdr:colOff>
      <xdr:row>20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41010F-D246-C653-A7A8-F7788ACF3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0</xdr:row>
      <xdr:rowOff>276226</xdr:rowOff>
    </xdr:from>
    <xdr:ext cx="6781800" cy="3686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8DBDF-133A-44A6-89FA-D1BF30F7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</xdr:colOff>
      <xdr:row>0</xdr:row>
      <xdr:rowOff>0</xdr:rowOff>
    </xdr:from>
    <xdr:to>
      <xdr:col>16</xdr:col>
      <xdr:colOff>504824</xdr:colOff>
      <xdr:row>21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4A17A3-A5E8-EBFD-97C4-12114AF9C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76200</xdr:rowOff>
    </xdr:from>
    <xdr:to>
      <xdr:col>20</xdr:col>
      <xdr:colOff>457200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228CB-4020-D86C-9F0A-6F0C15E95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CE6A-E542-4A83-ACFA-B4956F29450C}">
  <dimension ref="A1:G29"/>
  <sheetViews>
    <sheetView tabSelected="1" workbookViewId="0">
      <selection activeCell="D39" sqref="D39"/>
    </sheetView>
  </sheetViews>
  <sheetFormatPr defaultRowHeight="15" x14ac:dyDescent="0.25"/>
  <cols>
    <col min="1" max="1" width="15.7109375" style="28" customWidth="1"/>
    <col min="2" max="2" width="21.85546875" customWidth="1"/>
    <col min="3" max="3" width="23" customWidth="1"/>
    <col min="4" max="4" width="25.7109375" style="50" customWidth="1"/>
    <col min="5" max="5" width="16" customWidth="1"/>
    <col min="6" max="6" width="17.85546875" customWidth="1"/>
    <col min="7" max="7" width="12.28515625" customWidth="1"/>
  </cols>
  <sheetData>
    <row r="1" spans="1:7" s="9" customFormat="1" x14ac:dyDescent="0.25">
      <c r="A1" s="25" t="s">
        <v>0</v>
      </c>
      <c r="B1" s="8" t="s">
        <v>1</v>
      </c>
      <c r="C1" s="8" t="s">
        <v>2</v>
      </c>
      <c r="D1" s="34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26">
        <v>45941</v>
      </c>
      <c r="B2" s="1">
        <v>235920</v>
      </c>
      <c r="C2" s="1">
        <v>162331</v>
      </c>
      <c r="D2" s="49">
        <f t="shared" ref="D2:D27" si="0">B2-C2</f>
        <v>73589</v>
      </c>
      <c r="E2" s="1">
        <v>-16622</v>
      </c>
      <c r="F2" s="1">
        <v>1584</v>
      </c>
      <c r="G2" s="1">
        <f t="shared" ref="G2:G27" si="1">E2-F2</f>
        <v>-18206</v>
      </c>
    </row>
    <row r="3" spans="1:7" x14ac:dyDescent="0.25">
      <c r="A3" s="39" t="s">
        <v>7</v>
      </c>
      <c r="B3" s="1">
        <v>243961</v>
      </c>
      <c r="C3" s="1">
        <v>144954</v>
      </c>
      <c r="D3" s="49">
        <f t="shared" si="0"/>
        <v>99007</v>
      </c>
      <c r="E3" s="1">
        <v>8041</v>
      </c>
      <c r="F3" s="1">
        <v>-17377</v>
      </c>
      <c r="G3" s="1">
        <f>E3-F3</f>
        <v>25418</v>
      </c>
    </row>
    <row r="4" spans="1:7" x14ac:dyDescent="0.25">
      <c r="A4" s="39" t="s">
        <v>8</v>
      </c>
      <c r="B4" s="1">
        <v>244392</v>
      </c>
      <c r="C4" s="1">
        <v>150321</v>
      </c>
      <c r="D4" s="49">
        <f t="shared" si="0"/>
        <v>94071</v>
      </c>
      <c r="E4" s="1">
        <v>431</v>
      </c>
      <c r="F4" s="1">
        <v>5367</v>
      </c>
      <c r="G4" s="1">
        <f t="shared" si="1"/>
        <v>-4936</v>
      </c>
    </row>
    <row r="5" spans="1:7" x14ac:dyDescent="0.25">
      <c r="A5" s="26">
        <v>45700</v>
      </c>
      <c r="B5" s="1">
        <v>249672</v>
      </c>
      <c r="C5" s="1">
        <v>141219</v>
      </c>
      <c r="D5" s="49">
        <f t="shared" si="0"/>
        <v>108453</v>
      </c>
      <c r="E5" s="1">
        <v>5280</v>
      </c>
      <c r="F5" s="1">
        <v>-9102</v>
      </c>
      <c r="G5" s="1">
        <f t="shared" si="1"/>
        <v>14382</v>
      </c>
    </row>
    <row r="6" spans="1:7" x14ac:dyDescent="0.25">
      <c r="A6" s="26">
        <v>45912</v>
      </c>
      <c r="B6" s="1">
        <v>268118</v>
      </c>
      <c r="C6" s="1">
        <v>129330</v>
      </c>
      <c r="D6" s="49">
        <f t="shared" si="0"/>
        <v>138788</v>
      </c>
      <c r="E6" s="1">
        <v>18446</v>
      </c>
      <c r="F6" s="1">
        <v>-11889</v>
      </c>
      <c r="G6" s="1">
        <f t="shared" si="1"/>
        <v>30335</v>
      </c>
    </row>
    <row r="7" spans="1:7" x14ac:dyDescent="0.25">
      <c r="A7" s="39" t="s">
        <v>9</v>
      </c>
      <c r="B7" s="1">
        <v>277002</v>
      </c>
      <c r="C7" s="1">
        <v>132099</v>
      </c>
      <c r="D7" s="49">
        <f t="shared" si="0"/>
        <v>144903</v>
      </c>
      <c r="E7" s="1">
        <v>8884</v>
      </c>
      <c r="F7" s="1">
        <v>2769</v>
      </c>
      <c r="G7" s="1">
        <f t="shared" si="1"/>
        <v>6115</v>
      </c>
    </row>
    <row r="8" spans="1:7" x14ac:dyDescent="0.25">
      <c r="A8" s="39" t="s">
        <v>10</v>
      </c>
      <c r="B8" s="1">
        <v>293179</v>
      </c>
      <c r="C8" s="1">
        <v>133288</v>
      </c>
      <c r="D8" s="49">
        <f t="shared" si="0"/>
        <v>159891</v>
      </c>
      <c r="E8" s="1">
        <v>16177</v>
      </c>
      <c r="F8" s="1">
        <v>1189</v>
      </c>
      <c r="G8" s="1">
        <f t="shared" si="1"/>
        <v>14988</v>
      </c>
    </row>
    <row r="9" spans="1:7" x14ac:dyDescent="0.25">
      <c r="A9" s="39" t="s">
        <v>11</v>
      </c>
      <c r="B9" s="1">
        <v>294738</v>
      </c>
      <c r="C9" s="1">
        <v>137273</v>
      </c>
      <c r="D9" s="49">
        <f t="shared" si="0"/>
        <v>157465</v>
      </c>
      <c r="E9" s="1">
        <v>1559</v>
      </c>
      <c r="F9" s="1">
        <v>3985</v>
      </c>
      <c r="G9" s="1">
        <f t="shared" si="1"/>
        <v>-2426</v>
      </c>
    </row>
    <row r="10" spans="1:7" x14ac:dyDescent="0.25">
      <c r="A10" s="26">
        <v>46174</v>
      </c>
      <c r="B10" s="1">
        <v>298253</v>
      </c>
      <c r="C10" s="1">
        <v>135441</v>
      </c>
      <c r="D10" s="49">
        <f t="shared" si="0"/>
        <v>162812</v>
      </c>
      <c r="E10" s="1">
        <v>3515</v>
      </c>
      <c r="F10" s="1">
        <v>-1832</v>
      </c>
      <c r="G10" s="1">
        <f t="shared" si="1"/>
        <v>5347</v>
      </c>
    </row>
    <row r="11" spans="1:7" x14ac:dyDescent="0.25">
      <c r="A11" s="39" t="s">
        <v>12</v>
      </c>
      <c r="B11" s="1">
        <v>283592</v>
      </c>
      <c r="C11" s="1">
        <v>150936</v>
      </c>
      <c r="D11" s="49">
        <f t="shared" si="0"/>
        <v>132656</v>
      </c>
      <c r="E11" s="1">
        <v>-14661</v>
      </c>
      <c r="F11" s="1">
        <v>15495</v>
      </c>
      <c r="G11" s="1">
        <f t="shared" si="1"/>
        <v>-30156</v>
      </c>
    </row>
    <row r="12" spans="1:7" x14ac:dyDescent="0.25">
      <c r="A12" s="39" t="s">
        <v>13</v>
      </c>
      <c r="B12" s="1">
        <v>275235</v>
      </c>
      <c r="C12" s="1">
        <v>163540</v>
      </c>
      <c r="D12" s="49">
        <f t="shared" si="0"/>
        <v>111695</v>
      </c>
      <c r="E12" s="1">
        <v>-8357</v>
      </c>
      <c r="F12" s="1">
        <v>12604</v>
      </c>
      <c r="G12" s="1">
        <f t="shared" si="1"/>
        <v>-20961</v>
      </c>
    </row>
    <row r="13" spans="1:7" x14ac:dyDescent="0.25">
      <c r="A13" s="39" t="s">
        <v>14</v>
      </c>
      <c r="B13" s="1">
        <v>290336</v>
      </c>
      <c r="C13" s="1">
        <v>158202</v>
      </c>
      <c r="D13" s="49">
        <f t="shared" si="0"/>
        <v>132134</v>
      </c>
      <c r="E13" s="1">
        <v>15101</v>
      </c>
      <c r="F13" s="1">
        <v>-5338</v>
      </c>
      <c r="G13" s="1">
        <f t="shared" si="1"/>
        <v>20439</v>
      </c>
    </row>
    <row r="14" spans="1:7" x14ac:dyDescent="0.25">
      <c r="A14" s="26">
        <v>46083</v>
      </c>
      <c r="B14" s="1">
        <v>302301</v>
      </c>
      <c r="C14" s="1">
        <v>138940</v>
      </c>
      <c r="D14" s="49">
        <f t="shared" si="0"/>
        <v>163361</v>
      </c>
      <c r="E14" s="1">
        <v>11965</v>
      </c>
      <c r="F14" s="1">
        <v>-91262</v>
      </c>
      <c r="G14" s="1">
        <f t="shared" si="1"/>
        <v>103227</v>
      </c>
    </row>
    <row r="15" spans="1:7" x14ac:dyDescent="0.25">
      <c r="A15" s="26">
        <v>46297</v>
      </c>
      <c r="B15" s="1">
        <v>318704</v>
      </c>
      <c r="C15" s="1">
        <v>138399</v>
      </c>
      <c r="D15" s="49">
        <f t="shared" si="0"/>
        <v>180305</v>
      </c>
      <c r="E15" s="1">
        <v>16403</v>
      </c>
      <c r="F15" s="1">
        <v>-541</v>
      </c>
      <c r="G15" s="1">
        <f t="shared" si="1"/>
        <v>16944</v>
      </c>
    </row>
    <row r="16" spans="1:7" x14ac:dyDescent="0.25">
      <c r="A16" s="39" t="s">
        <v>15</v>
      </c>
      <c r="B16" s="1">
        <v>311549</v>
      </c>
      <c r="C16" s="1">
        <v>137069</v>
      </c>
      <c r="D16" s="49">
        <f t="shared" si="0"/>
        <v>174480</v>
      </c>
      <c r="E16" s="1">
        <v>-7155</v>
      </c>
      <c r="F16" s="1">
        <v>-1330</v>
      </c>
      <c r="G16" s="1">
        <f t="shared" si="1"/>
        <v>-5825</v>
      </c>
    </row>
    <row r="17" spans="1:7" x14ac:dyDescent="0.25">
      <c r="A17" s="39" t="s">
        <v>16</v>
      </c>
      <c r="B17" s="1">
        <v>294873</v>
      </c>
      <c r="C17" s="1">
        <v>138017</v>
      </c>
      <c r="D17" s="49">
        <f t="shared" si="0"/>
        <v>156856</v>
      </c>
      <c r="E17" s="1">
        <v>-16676</v>
      </c>
      <c r="F17" s="1">
        <v>948</v>
      </c>
      <c r="G17" s="1">
        <f t="shared" si="1"/>
        <v>-17624</v>
      </c>
    </row>
    <row r="18" spans="1:7" x14ac:dyDescent="0.25">
      <c r="A18" s="26">
        <v>46084</v>
      </c>
      <c r="B18" s="1">
        <v>294586</v>
      </c>
      <c r="C18" s="1">
        <v>158088</v>
      </c>
      <c r="D18" s="49">
        <f t="shared" si="0"/>
        <v>136498</v>
      </c>
      <c r="E18" s="1">
        <v>-287</v>
      </c>
      <c r="F18" s="1">
        <v>20071</v>
      </c>
      <c r="G18" s="1">
        <f t="shared" si="1"/>
        <v>-20358</v>
      </c>
    </row>
    <row r="19" spans="1:7" x14ac:dyDescent="0.25">
      <c r="A19" s="26">
        <v>46298</v>
      </c>
      <c r="B19" s="1">
        <v>265686</v>
      </c>
      <c r="C19" s="1">
        <v>160542</v>
      </c>
      <c r="D19" s="49">
        <f t="shared" si="0"/>
        <v>105144</v>
      </c>
      <c r="E19" s="1">
        <v>-28900</v>
      </c>
      <c r="F19" s="1">
        <v>2454</v>
      </c>
      <c r="G19" s="1">
        <f t="shared" si="1"/>
        <v>-31354</v>
      </c>
    </row>
    <row r="20" spans="1:7" x14ac:dyDescent="0.25">
      <c r="A20" s="39" t="s">
        <v>17</v>
      </c>
      <c r="B20" s="1">
        <v>212886</v>
      </c>
      <c r="C20" s="1">
        <v>191754</v>
      </c>
      <c r="D20" s="49">
        <f t="shared" si="0"/>
        <v>21132</v>
      </c>
      <c r="E20" s="1">
        <v>-5200</v>
      </c>
      <c r="F20" s="1">
        <v>31212</v>
      </c>
      <c r="G20" s="1">
        <f t="shared" si="1"/>
        <v>-36412</v>
      </c>
    </row>
    <row r="21" spans="1:7" x14ac:dyDescent="0.25">
      <c r="A21" s="26" t="s">
        <v>19</v>
      </c>
      <c r="B21" s="3">
        <v>200025</v>
      </c>
      <c r="C21" s="3">
        <v>190746</v>
      </c>
      <c r="D21" s="49">
        <f t="shared" si="0"/>
        <v>9279</v>
      </c>
      <c r="E21" s="7">
        <v>-12861</v>
      </c>
      <c r="F21" s="7">
        <v>-1008</v>
      </c>
      <c r="G21" s="1">
        <f t="shared" si="1"/>
        <v>-11853</v>
      </c>
    </row>
    <row r="22" spans="1:7" x14ac:dyDescent="0.25">
      <c r="A22" s="28" t="s">
        <v>20</v>
      </c>
      <c r="B22" s="16">
        <v>200168</v>
      </c>
      <c r="C22" s="16">
        <v>199661</v>
      </c>
      <c r="D22" s="50">
        <f t="shared" si="0"/>
        <v>507</v>
      </c>
      <c r="E22" s="17">
        <v>143</v>
      </c>
      <c r="F22" s="18">
        <v>8915</v>
      </c>
      <c r="G22" s="16">
        <f t="shared" si="1"/>
        <v>-8772</v>
      </c>
    </row>
    <row r="23" spans="1:7" x14ac:dyDescent="0.25">
      <c r="A23" s="27">
        <v>46119</v>
      </c>
      <c r="B23" s="7">
        <v>200946</v>
      </c>
      <c r="C23" s="7">
        <v>208487</v>
      </c>
      <c r="D23" s="50">
        <f t="shared" si="0"/>
        <v>-7541</v>
      </c>
      <c r="E23">
        <v>778</v>
      </c>
      <c r="F23" s="7">
        <v>8826</v>
      </c>
      <c r="G23" s="16">
        <f t="shared" si="1"/>
        <v>-8048</v>
      </c>
    </row>
    <row r="24" spans="1:7" x14ac:dyDescent="0.25">
      <c r="A24" s="48">
        <v>46126</v>
      </c>
      <c r="B24" s="7">
        <v>129517</v>
      </c>
      <c r="C24" s="7">
        <v>64442</v>
      </c>
      <c r="D24" s="50">
        <f t="shared" si="0"/>
        <v>65075</v>
      </c>
      <c r="E24" s="7">
        <v>-8442</v>
      </c>
      <c r="F24" s="7">
        <v>-2704</v>
      </c>
      <c r="G24" s="16">
        <f t="shared" si="1"/>
        <v>-5738</v>
      </c>
    </row>
    <row r="25" spans="1:7" x14ac:dyDescent="0.25">
      <c r="A25" s="27">
        <v>46126</v>
      </c>
      <c r="B25" s="7">
        <v>214639</v>
      </c>
      <c r="C25" s="7">
        <v>188621</v>
      </c>
      <c r="D25" s="50">
        <f t="shared" si="0"/>
        <v>26018</v>
      </c>
      <c r="E25" s="7">
        <v>13693</v>
      </c>
      <c r="F25" s="7">
        <v>-19866</v>
      </c>
      <c r="G25" s="16">
        <f t="shared" si="1"/>
        <v>33559</v>
      </c>
    </row>
    <row r="26" spans="1:7" x14ac:dyDescent="0.25">
      <c r="A26" s="27">
        <v>46133</v>
      </c>
      <c r="B26" s="7">
        <v>217407</v>
      </c>
      <c r="C26" s="7">
        <v>176083</v>
      </c>
      <c r="D26" s="50">
        <f t="shared" si="0"/>
        <v>41324</v>
      </c>
      <c r="E26" s="7">
        <v>2768</v>
      </c>
      <c r="F26" s="7">
        <v>-12538</v>
      </c>
      <c r="G26" s="16">
        <f t="shared" si="1"/>
        <v>15306</v>
      </c>
    </row>
    <row r="27" spans="1:7" x14ac:dyDescent="0.25">
      <c r="A27" s="27">
        <v>46140</v>
      </c>
      <c r="B27" s="7">
        <v>217091</v>
      </c>
      <c r="C27" s="7">
        <v>181379</v>
      </c>
      <c r="D27" s="50">
        <f t="shared" si="0"/>
        <v>35712</v>
      </c>
      <c r="E27">
        <v>-316</v>
      </c>
      <c r="F27" s="7">
        <v>5296</v>
      </c>
      <c r="G27" s="16">
        <f t="shared" si="1"/>
        <v>-5612</v>
      </c>
    </row>
    <row r="29" spans="1:7" x14ac:dyDescent="0.25">
      <c r="F29" s="35"/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9AD9-8C60-4A1C-9327-32192CC888AD}">
  <dimension ref="A1:G26"/>
  <sheetViews>
    <sheetView workbookViewId="0">
      <selection activeCell="F31" sqref="F31"/>
    </sheetView>
  </sheetViews>
  <sheetFormatPr defaultRowHeight="15" x14ac:dyDescent="0.25"/>
  <cols>
    <col min="1" max="1" width="16" style="28" customWidth="1"/>
    <col min="2" max="2" width="21.85546875" style="24" customWidth="1"/>
    <col min="3" max="3" width="23" customWidth="1"/>
    <col min="4" max="4" width="25.7109375" style="43" customWidth="1"/>
    <col min="5" max="5" width="16" customWidth="1"/>
    <col min="6" max="6" width="17.85546875" customWidth="1"/>
    <col min="7" max="7" width="12.28515625" customWidth="1"/>
  </cols>
  <sheetData>
    <row r="1" spans="1:7" s="9" customFormat="1" ht="30.75" customHeight="1" x14ac:dyDescent="0.25">
      <c r="A1" s="25" t="s">
        <v>0</v>
      </c>
      <c r="B1" s="8" t="s">
        <v>1</v>
      </c>
      <c r="C1" s="8" t="s">
        <v>2</v>
      </c>
      <c r="D1" s="36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26">
        <v>45941</v>
      </c>
      <c r="B2" s="51">
        <v>16004</v>
      </c>
      <c r="C2" s="1">
        <v>31631</v>
      </c>
      <c r="D2" s="53">
        <f t="shared" ref="D2:D26" si="0">B2-C2</f>
        <v>-15627</v>
      </c>
      <c r="E2" s="1">
        <v>-641</v>
      </c>
      <c r="F2" s="1">
        <v>-576</v>
      </c>
      <c r="G2" s="1">
        <f t="shared" ref="G2:G26" si="1">E2-F2</f>
        <v>-65</v>
      </c>
    </row>
    <row r="3" spans="1:7" x14ac:dyDescent="0.25">
      <c r="A3" s="39" t="s">
        <v>7</v>
      </c>
      <c r="B3" s="51">
        <v>16893</v>
      </c>
      <c r="C3" s="1">
        <v>33001</v>
      </c>
      <c r="D3" s="53">
        <f t="shared" si="0"/>
        <v>-16108</v>
      </c>
      <c r="E3" s="1">
        <v>889</v>
      </c>
      <c r="F3" s="1">
        <v>1370</v>
      </c>
      <c r="G3" s="1">
        <f>E3-F3</f>
        <v>-481</v>
      </c>
    </row>
    <row r="4" spans="1:7" x14ac:dyDescent="0.25">
      <c r="A4" s="39" t="s">
        <v>8</v>
      </c>
      <c r="B4" s="51">
        <v>18448</v>
      </c>
      <c r="C4" s="1">
        <v>34795</v>
      </c>
      <c r="D4" s="53">
        <f t="shared" si="0"/>
        <v>-16347</v>
      </c>
      <c r="E4" s="1">
        <v>1555</v>
      </c>
      <c r="F4" s="1">
        <v>1794</v>
      </c>
      <c r="G4" s="1">
        <f t="shared" si="1"/>
        <v>-239</v>
      </c>
    </row>
    <row r="5" spans="1:7" x14ac:dyDescent="0.25">
      <c r="A5" s="26">
        <v>45700</v>
      </c>
      <c r="B5" s="51">
        <v>14444</v>
      </c>
      <c r="C5" s="1">
        <v>30662</v>
      </c>
      <c r="D5" s="53">
        <f t="shared" si="0"/>
        <v>-16218</v>
      </c>
      <c r="E5" s="1">
        <v>-4004</v>
      </c>
      <c r="F5" s="1">
        <v>-4133</v>
      </c>
      <c r="G5" s="1">
        <f t="shared" si="1"/>
        <v>129</v>
      </c>
    </row>
    <row r="6" spans="1:7" x14ac:dyDescent="0.25">
      <c r="A6" s="26">
        <v>45912</v>
      </c>
      <c r="B6" s="51">
        <v>14778</v>
      </c>
      <c r="C6" s="1">
        <v>28652</v>
      </c>
      <c r="D6" s="53">
        <f t="shared" si="0"/>
        <v>-13874</v>
      </c>
      <c r="E6" s="1">
        <v>334</v>
      </c>
      <c r="F6" s="1">
        <v>-2010</v>
      </c>
      <c r="G6" s="1">
        <f t="shared" si="1"/>
        <v>2344</v>
      </c>
    </row>
    <row r="7" spans="1:7" x14ac:dyDescent="0.25">
      <c r="A7" s="39" t="s">
        <v>9</v>
      </c>
      <c r="B7" s="51">
        <v>15895</v>
      </c>
      <c r="C7" s="1">
        <v>20490</v>
      </c>
      <c r="D7" s="53">
        <f t="shared" si="0"/>
        <v>-4595</v>
      </c>
      <c r="E7" s="1">
        <v>1117</v>
      </c>
      <c r="F7" s="1">
        <v>-8162</v>
      </c>
      <c r="G7" s="1">
        <f t="shared" si="1"/>
        <v>9279</v>
      </c>
    </row>
    <row r="8" spans="1:7" x14ac:dyDescent="0.25">
      <c r="A8" s="39" t="s">
        <v>10</v>
      </c>
      <c r="B8" s="51">
        <v>16688</v>
      </c>
      <c r="C8" s="1">
        <v>20709</v>
      </c>
      <c r="D8" s="53">
        <f t="shared" si="0"/>
        <v>-4021</v>
      </c>
      <c r="E8" s="1">
        <v>793</v>
      </c>
      <c r="F8" s="1">
        <v>219</v>
      </c>
      <c r="G8" s="1">
        <f t="shared" si="1"/>
        <v>574</v>
      </c>
    </row>
    <row r="9" spans="1:7" x14ac:dyDescent="0.25">
      <c r="A9" s="39" t="s">
        <v>11</v>
      </c>
      <c r="B9" s="51">
        <v>16652</v>
      </c>
      <c r="C9" s="1">
        <v>20612</v>
      </c>
      <c r="D9" s="53">
        <f t="shared" si="0"/>
        <v>-3960</v>
      </c>
      <c r="E9" s="1">
        <v>-36</v>
      </c>
      <c r="F9" s="1">
        <v>-97</v>
      </c>
      <c r="G9" s="1">
        <f t="shared" si="1"/>
        <v>61</v>
      </c>
    </row>
    <row r="10" spans="1:7" x14ac:dyDescent="0.25">
      <c r="A10" s="26">
        <v>46174</v>
      </c>
      <c r="B10" s="51">
        <v>17671</v>
      </c>
      <c r="C10" s="1">
        <v>21502</v>
      </c>
      <c r="D10" s="53">
        <f t="shared" si="0"/>
        <v>-3831</v>
      </c>
      <c r="E10" s="1">
        <v>1019</v>
      </c>
      <c r="F10" s="1">
        <v>890</v>
      </c>
      <c r="G10" s="1">
        <f t="shared" si="1"/>
        <v>129</v>
      </c>
    </row>
    <row r="11" spans="1:7" x14ac:dyDescent="0.25">
      <c r="A11" s="39" t="s">
        <v>12</v>
      </c>
      <c r="B11" s="51">
        <v>17929</v>
      </c>
      <c r="C11" s="1">
        <v>21659</v>
      </c>
      <c r="D11" s="53">
        <f t="shared" si="0"/>
        <v>-3730</v>
      </c>
      <c r="E11" s="1">
        <v>258</v>
      </c>
      <c r="F11" s="1">
        <v>157</v>
      </c>
      <c r="G11" s="1">
        <f t="shared" si="1"/>
        <v>101</v>
      </c>
    </row>
    <row r="12" spans="1:7" x14ac:dyDescent="0.25">
      <c r="A12" s="39" t="s">
        <v>13</v>
      </c>
      <c r="B12" s="51">
        <v>16003</v>
      </c>
      <c r="C12" s="1">
        <v>22421</v>
      </c>
      <c r="D12" s="53">
        <f t="shared" si="0"/>
        <v>-6418</v>
      </c>
      <c r="E12" s="1">
        <v>-1926</v>
      </c>
      <c r="F12" s="1">
        <v>762</v>
      </c>
      <c r="G12" s="1">
        <f t="shared" si="1"/>
        <v>-2688</v>
      </c>
    </row>
    <row r="13" spans="1:7" x14ac:dyDescent="0.25">
      <c r="A13" s="39" t="s">
        <v>14</v>
      </c>
      <c r="B13" s="51">
        <v>17945</v>
      </c>
      <c r="C13" s="1">
        <v>22350</v>
      </c>
      <c r="D13" s="53">
        <f t="shared" si="0"/>
        <v>-4405</v>
      </c>
      <c r="E13" s="1">
        <v>1942</v>
      </c>
      <c r="F13" s="1">
        <v>-71</v>
      </c>
      <c r="G13" s="1">
        <f t="shared" si="1"/>
        <v>2013</v>
      </c>
    </row>
    <row r="14" spans="1:7" x14ac:dyDescent="0.25">
      <c r="A14" s="26">
        <v>46083</v>
      </c>
      <c r="B14" s="51">
        <v>16610</v>
      </c>
      <c r="C14" s="1">
        <v>17462</v>
      </c>
      <c r="D14" s="53">
        <f t="shared" si="0"/>
        <v>-852</v>
      </c>
      <c r="E14" s="1">
        <v>-1335</v>
      </c>
      <c r="F14" s="1">
        <v>-4888</v>
      </c>
      <c r="G14" s="1">
        <f t="shared" si="1"/>
        <v>3553</v>
      </c>
    </row>
    <row r="15" spans="1:7" x14ac:dyDescent="0.25">
      <c r="A15" s="26">
        <v>46297</v>
      </c>
      <c r="B15" s="51">
        <v>16131</v>
      </c>
      <c r="C15" s="1">
        <v>16860</v>
      </c>
      <c r="D15" s="53">
        <f t="shared" si="0"/>
        <v>-729</v>
      </c>
      <c r="E15" s="1">
        <v>-479</v>
      </c>
      <c r="F15" s="1">
        <v>-602</v>
      </c>
      <c r="G15" s="1">
        <f t="shared" si="1"/>
        <v>123</v>
      </c>
    </row>
    <row r="16" spans="1:7" x14ac:dyDescent="0.25">
      <c r="A16" s="39" t="s">
        <v>15</v>
      </c>
      <c r="B16" s="51">
        <v>15416</v>
      </c>
      <c r="C16" s="1">
        <v>15088</v>
      </c>
      <c r="D16" s="53">
        <f t="shared" si="0"/>
        <v>328</v>
      </c>
      <c r="E16" s="1">
        <v>-715</v>
      </c>
      <c r="F16" s="1">
        <v>-1772</v>
      </c>
      <c r="G16" s="1">
        <f t="shared" si="1"/>
        <v>1057</v>
      </c>
    </row>
    <row r="17" spans="1:7" x14ac:dyDescent="0.25">
      <c r="A17" s="39" t="s">
        <v>16</v>
      </c>
      <c r="B17" s="51">
        <v>13295</v>
      </c>
      <c r="C17" s="1">
        <v>15084</v>
      </c>
      <c r="D17" s="53">
        <f t="shared" si="0"/>
        <v>-1789</v>
      </c>
      <c r="E17" s="1">
        <v>-2121</v>
      </c>
      <c r="F17" s="1">
        <v>-4</v>
      </c>
      <c r="G17" s="1">
        <f t="shared" si="1"/>
        <v>-2117</v>
      </c>
    </row>
    <row r="18" spans="1:7" x14ac:dyDescent="0.25">
      <c r="A18" s="26">
        <v>46084</v>
      </c>
      <c r="B18" s="51">
        <v>15061</v>
      </c>
      <c r="C18" s="1">
        <v>20050</v>
      </c>
      <c r="D18" s="53">
        <f t="shared" si="0"/>
        <v>-4989</v>
      </c>
      <c r="E18" s="1">
        <v>1766</v>
      </c>
      <c r="F18" s="1">
        <v>4966</v>
      </c>
      <c r="G18" s="1">
        <f t="shared" si="1"/>
        <v>-3200</v>
      </c>
    </row>
    <row r="19" spans="1:7" x14ac:dyDescent="0.25">
      <c r="A19" s="26">
        <v>46298</v>
      </c>
      <c r="B19" s="51">
        <v>16384</v>
      </c>
      <c r="C19" s="1">
        <v>22266</v>
      </c>
      <c r="D19" s="53">
        <f t="shared" si="0"/>
        <v>-5882</v>
      </c>
      <c r="E19" s="1">
        <v>1323</v>
      </c>
      <c r="F19" s="1">
        <v>2216</v>
      </c>
      <c r="G19" s="1">
        <f t="shared" si="1"/>
        <v>-893</v>
      </c>
    </row>
    <row r="20" spans="1:7" x14ac:dyDescent="0.25">
      <c r="A20" s="39" t="s">
        <v>17</v>
      </c>
      <c r="B20" s="51">
        <v>21426</v>
      </c>
      <c r="C20" s="1">
        <v>17733</v>
      </c>
      <c r="D20" s="53">
        <f t="shared" si="0"/>
        <v>3693</v>
      </c>
      <c r="E20" s="1">
        <v>5042</v>
      </c>
      <c r="F20" s="1">
        <v>-4533</v>
      </c>
      <c r="G20" s="1">
        <f t="shared" si="1"/>
        <v>9575</v>
      </c>
    </row>
    <row r="21" spans="1:7" x14ac:dyDescent="0.25">
      <c r="A21" s="26" t="s">
        <v>19</v>
      </c>
      <c r="B21" s="22">
        <v>20457</v>
      </c>
      <c r="C21" s="3">
        <v>16840</v>
      </c>
      <c r="D21" s="53">
        <f t="shared" si="0"/>
        <v>3617</v>
      </c>
      <c r="E21" s="1">
        <v>-969</v>
      </c>
      <c r="F21" s="1">
        <v>-893</v>
      </c>
      <c r="G21" s="1">
        <f t="shared" si="1"/>
        <v>-76</v>
      </c>
    </row>
    <row r="22" spans="1:7" x14ac:dyDescent="0.25">
      <c r="A22" s="28" t="s">
        <v>20</v>
      </c>
      <c r="B22" s="52">
        <v>21708</v>
      </c>
      <c r="C22" s="16">
        <v>18027</v>
      </c>
      <c r="D22" s="43">
        <f t="shared" si="0"/>
        <v>3681</v>
      </c>
      <c r="E22" s="16">
        <v>1251</v>
      </c>
      <c r="F22" s="16">
        <v>1187</v>
      </c>
      <c r="G22" s="16">
        <f t="shared" si="1"/>
        <v>64</v>
      </c>
    </row>
    <row r="23" spans="1:7" x14ac:dyDescent="0.25">
      <c r="A23" s="27">
        <v>46119</v>
      </c>
      <c r="B23" s="23">
        <v>23084</v>
      </c>
      <c r="C23" s="7">
        <v>17573</v>
      </c>
      <c r="D23" s="43">
        <f t="shared" si="0"/>
        <v>5511</v>
      </c>
      <c r="E23" s="7">
        <v>1376</v>
      </c>
      <c r="F23">
        <v>-454</v>
      </c>
      <c r="G23" s="16">
        <f t="shared" si="1"/>
        <v>1830</v>
      </c>
    </row>
    <row r="24" spans="1:7" x14ac:dyDescent="0.25">
      <c r="A24" s="27">
        <v>46126</v>
      </c>
      <c r="B24" s="23">
        <v>18970</v>
      </c>
      <c r="C24" s="7">
        <v>13800</v>
      </c>
      <c r="D24" s="43">
        <f t="shared" si="0"/>
        <v>5170</v>
      </c>
      <c r="E24" s="7">
        <v>-4114</v>
      </c>
      <c r="F24" s="7">
        <v>-3773</v>
      </c>
      <c r="G24" s="16">
        <f t="shared" si="1"/>
        <v>-341</v>
      </c>
    </row>
    <row r="25" spans="1:7" x14ac:dyDescent="0.25">
      <c r="A25" s="27">
        <v>46133</v>
      </c>
      <c r="B25" s="23">
        <v>17617</v>
      </c>
      <c r="C25" s="7">
        <v>12634</v>
      </c>
      <c r="D25" s="43">
        <f t="shared" si="0"/>
        <v>4983</v>
      </c>
      <c r="E25" s="7">
        <v>-1353</v>
      </c>
      <c r="F25" s="7">
        <v>-1166</v>
      </c>
      <c r="G25" s="16">
        <f t="shared" si="1"/>
        <v>-187</v>
      </c>
    </row>
    <row r="26" spans="1:7" x14ac:dyDescent="0.25">
      <c r="A26" s="27">
        <v>46140</v>
      </c>
      <c r="B26" s="23">
        <v>17180</v>
      </c>
      <c r="C26" s="7">
        <v>12672</v>
      </c>
      <c r="D26" s="43">
        <f t="shared" si="0"/>
        <v>4508</v>
      </c>
      <c r="E26">
        <v>-437</v>
      </c>
      <c r="F26">
        <v>38</v>
      </c>
      <c r="G26" s="16">
        <f t="shared" si="1"/>
        <v>-475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4D1E-BA3D-43E2-BF69-69E226E6EEE7}">
  <dimension ref="A1:G25"/>
  <sheetViews>
    <sheetView workbookViewId="0">
      <selection sqref="A1:A1048576"/>
    </sheetView>
  </sheetViews>
  <sheetFormatPr defaultRowHeight="15" x14ac:dyDescent="0.25"/>
  <cols>
    <col min="1" max="1" width="17.5703125" style="27" customWidth="1"/>
    <col min="2" max="2" width="21.42578125" customWidth="1"/>
    <col min="3" max="3" width="22.42578125" customWidth="1"/>
    <col min="4" max="4" width="26.28515625" style="43" customWidth="1"/>
    <col min="5" max="5" width="16.5703125" customWidth="1"/>
    <col min="6" max="6" width="17.42578125" customWidth="1"/>
    <col min="7" max="7" width="11.140625" customWidth="1"/>
  </cols>
  <sheetData>
    <row r="1" spans="1:7" s="4" customFormat="1" ht="42" customHeight="1" x14ac:dyDescent="0.25">
      <c r="A1" s="37" t="s">
        <v>0</v>
      </c>
      <c r="B1" s="6" t="s">
        <v>1</v>
      </c>
      <c r="C1" s="6" t="s">
        <v>2</v>
      </c>
      <c r="D1" s="36" t="s">
        <v>3</v>
      </c>
      <c r="E1" s="6" t="s">
        <v>4</v>
      </c>
      <c r="F1" s="6" t="s">
        <v>18</v>
      </c>
      <c r="G1" s="6" t="s">
        <v>6</v>
      </c>
    </row>
    <row r="2" spans="1:7" x14ac:dyDescent="0.25">
      <c r="A2" s="26">
        <v>45971</v>
      </c>
      <c r="B2" s="3">
        <v>43114</v>
      </c>
      <c r="C2" s="3">
        <v>121741</v>
      </c>
      <c r="D2" s="42">
        <f>B2-C2</f>
        <v>-78627</v>
      </c>
      <c r="E2" s="3">
        <v>-7246</v>
      </c>
      <c r="F2" s="1">
        <v>-195</v>
      </c>
      <c r="G2" s="1">
        <f>E2-F2</f>
        <v>-7051</v>
      </c>
    </row>
    <row r="3" spans="1:7" x14ac:dyDescent="0.25">
      <c r="A3" s="26">
        <v>45979</v>
      </c>
      <c r="B3" s="3">
        <v>45721</v>
      </c>
      <c r="C3" s="3">
        <v>121577</v>
      </c>
      <c r="D3" s="53">
        <f t="shared" ref="D3:D25" si="0">B3-C3</f>
        <v>-75856</v>
      </c>
      <c r="E3" s="3">
        <v>2607</v>
      </c>
      <c r="F3" s="1">
        <v>-164</v>
      </c>
      <c r="G3" s="1">
        <f t="shared" ref="G3:G25" si="1">E3-F3</f>
        <v>2771</v>
      </c>
    </row>
    <row r="4" spans="1:7" x14ac:dyDescent="0.25">
      <c r="A4" s="26">
        <v>45986</v>
      </c>
      <c r="B4" s="3">
        <v>43918</v>
      </c>
      <c r="C4" s="3">
        <v>128094</v>
      </c>
      <c r="D4" s="53">
        <f t="shared" si="0"/>
        <v>-84176</v>
      </c>
      <c r="E4" s="3">
        <v>-1803</v>
      </c>
      <c r="F4" s="3">
        <v>6517</v>
      </c>
      <c r="G4" s="1">
        <f t="shared" si="1"/>
        <v>-8320</v>
      </c>
    </row>
    <row r="5" spans="1:7" x14ac:dyDescent="0.25">
      <c r="A5" s="26">
        <v>45993</v>
      </c>
      <c r="B5" s="3">
        <v>45868</v>
      </c>
      <c r="C5" s="3">
        <v>129261</v>
      </c>
      <c r="D5" s="53">
        <f t="shared" si="0"/>
        <v>-83393</v>
      </c>
      <c r="E5" s="3">
        <v>1950</v>
      </c>
      <c r="F5" s="3">
        <v>1167</v>
      </c>
      <c r="G5" s="1">
        <f t="shared" si="1"/>
        <v>783</v>
      </c>
    </row>
    <row r="6" spans="1:7" x14ac:dyDescent="0.25">
      <c r="A6" s="26">
        <v>46000</v>
      </c>
      <c r="B6" s="3">
        <v>57569</v>
      </c>
      <c r="C6" s="3">
        <v>120516</v>
      </c>
      <c r="D6" s="53">
        <f t="shared" si="0"/>
        <v>-62947</v>
      </c>
      <c r="E6" s="3">
        <v>11701</v>
      </c>
      <c r="F6" s="3">
        <v>-8745</v>
      </c>
      <c r="G6" s="1">
        <f t="shared" si="1"/>
        <v>20446</v>
      </c>
    </row>
    <row r="7" spans="1:7" x14ac:dyDescent="0.25">
      <c r="A7" s="26">
        <v>46007</v>
      </c>
      <c r="B7" s="3">
        <v>67640</v>
      </c>
      <c r="C7" s="3">
        <v>89535</v>
      </c>
      <c r="D7" s="53">
        <f t="shared" si="0"/>
        <v>-21895</v>
      </c>
      <c r="E7" s="3">
        <v>10071</v>
      </c>
      <c r="F7" s="3">
        <v>-30981</v>
      </c>
      <c r="G7" s="1">
        <f t="shared" si="1"/>
        <v>41052</v>
      </c>
    </row>
    <row r="8" spans="1:7" x14ac:dyDescent="0.25">
      <c r="A8" s="26">
        <v>46014</v>
      </c>
      <c r="B8" s="3">
        <v>70657</v>
      </c>
      <c r="C8" s="3">
        <v>92255</v>
      </c>
      <c r="D8" s="53">
        <f t="shared" si="0"/>
        <v>-21598</v>
      </c>
      <c r="E8" s="3">
        <v>3017</v>
      </c>
      <c r="F8" s="3">
        <v>2720</v>
      </c>
      <c r="G8" s="1">
        <f t="shared" si="1"/>
        <v>297</v>
      </c>
    </row>
    <row r="9" spans="1:7" x14ac:dyDescent="0.25">
      <c r="A9" s="26">
        <v>46021</v>
      </c>
      <c r="B9" s="3">
        <v>77497</v>
      </c>
      <c r="C9" s="3">
        <v>98713</v>
      </c>
      <c r="D9" s="53">
        <f t="shared" si="0"/>
        <v>-21216</v>
      </c>
      <c r="E9" s="3">
        <v>6840</v>
      </c>
      <c r="F9" s="3">
        <v>6458</v>
      </c>
      <c r="G9" s="1">
        <f t="shared" si="1"/>
        <v>382</v>
      </c>
    </row>
    <row r="10" spans="1:7" x14ac:dyDescent="0.25">
      <c r="A10" s="26">
        <v>46028</v>
      </c>
      <c r="B10" s="3">
        <v>80491</v>
      </c>
      <c r="C10" s="3">
        <v>99451</v>
      </c>
      <c r="D10" s="53">
        <f t="shared" si="0"/>
        <v>-18960</v>
      </c>
      <c r="E10" s="3">
        <v>2994</v>
      </c>
      <c r="F10" s="1">
        <v>738</v>
      </c>
      <c r="G10" s="1">
        <f t="shared" si="1"/>
        <v>2256</v>
      </c>
    </row>
    <row r="11" spans="1:7" x14ac:dyDescent="0.25">
      <c r="A11" s="26">
        <v>46035</v>
      </c>
      <c r="B11" s="3">
        <v>83955</v>
      </c>
      <c r="C11" s="3">
        <v>102801</v>
      </c>
      <c r="D11" s="53">
        <f t="shared" si="0"/>
        <v>-18846</v>
      </c>
      <c r="E11" s="3">
        <v>3464</v>
      </c>
      <c r="F11" s="3">
        <v>3350</v>
      </c>
      <c r="G11" s="1">
        <f t="shared" si="1"/>
        <v>114</v>
      </c>
    </row>
    <row r="12" spans="1:7" x14ac:dyDescent="0.25">
      <c r="A12" s="26">
        <v>46042</v>
      </c>
      <c r="B12" s="3">
        <v>85759</v>
      </c>
      <c r="C12" s="3">
        <v>99770</v>
      </c>
      <c r="D12" s="53">
        <f t="shared" si="0"/>
        <v>-14011</v>
      </c>
      <c r="E12" s="3">
        <v>1804</v>
      </c>
      <c r="F12" s="3">
        <v>-3031</v>
      </c>
      <c r="G12" s="1">
        <f t="shared" si="1"/>
        <v>4835</v>
      </c>
    </row>
    <row r="13" spans="1:7" x14ac:dyDescent="0.25">
      <c r="A13" s="26">
        <v>46049</v>
      </c>
      <c r="B13" s="3">
        <v>109806</v>
      </c>
      <c r="C13" s="3">
        <v>102660</v>
      </c>
      <c r="D13" s="53">
        <f t="shared" si="0"/>
        <v>7146</v>
      </c>
      <c r="E13" s="3">
        <v>24047</v>
      </c>
      <c r="F13" s="3">
        <v>2890</v>
      </c>
      <c r="G13" s="1">
        <f t="shared" si="1"/>
        <v>21157</v>
      </c>
    </row>
    <row r="14" spans="1:7" x14ac:dyDescent="0.25">
      <c r="A14" s="26">
        <v>46056</v>
      </c>
      <c r="B14" s="3">
        <v>118751</v>
      </c>
      <c r="C14" s="3">
        <v>92633</v>
      </c>
      <c r="D14" s="53">
        <f t="shared" si="0"/>
        <v>26118</v>
      </c>
      <c r="E14" s="3">
        <v>8945</v>
      </c>
      <c r="F14" s="3">
        <v>-10027</v>
      </c>
      <c r="G14" s="1">
        <f t="shared" si="1"/>
        <v>18972</v>
      </c>
    </row>
    <row r="15" spans="1:7" x14ac:dyDescent="0.25">
      <c r="A15" s="26">
        <v>46063</v>
      </c>
      <c r="B15" s="3">
        <v>112766</v>
      </c>
      <c r="C15" s="3">
        <v>79557</v>
      </c>
      <c r="D15" s="53">
        <f t="shared" si="0"/>
        <v>33209</v>
      </c>
      <c r="E15" s="3">
        <v>-5985</v>
      </c>
      <c r="F15" s="3">
        <v>-13076</v>
      </c>
      <c r="G15" s="1">
        <f t="shared" si="1"/>
        <v>7091</v>
      </c>
    </row>
    <row r="16" spans="1:7" x14ac:dyDescent="0.25">
      <c r="A16" s="26">
        <v>46070</v>
      </c>
      <c r="B16" s="3">
        <v>117820</v>
      </c>
      <c r="C16" s="3">
        <v>71889</v>
      </c>
      <c r="D16" s="53">
        <f t="shared" si="0"/>
        <v>45931</v>
      </c>
      <c r="E16" s="3">
        <v>5054</v>
      </c>
      <c r="F16" s="3">
        <v>-7668</v>
      </c>
      <c r="G16" s="1">
        <f t="shared" si="1"/>
        <v>12722</v>
      </c>
    </row>
    <row r="17" spans="1:7" x14ac:dyDescent="0.25">
      <c r="A17" s="26">
        <v>46077</v>
      </c>
      <c r="B17" s="3">
        <v>121661</v>
      </c>
      <c r="C17" s="3">
        <v>69017</v>
      </c>
      <c r="D17" s="53">
        <f t="shared" si="0"/>
        <v>52644</v>
      </c>
      <c r="E17" s="3">
        <v>3841</v>
      </c>
      <c r="F17" s="3">
        <v>-2872</v>
      </c>
      <c r="G17" s="1">
        <f t="shared" si="1"/>
        <v>6713</v>
      </c>
    </row>
    <row r="18" spans="1:7" x14ac:dyDescent="0.25">
      <c r="A18" s="26">
        <v>46084</v>
      </c>
      <c r="B18" s="3">
        <v>136515</v>
      </c>
      <c r="C18" s="3">
        <v>68753</v>
      </c>
      <c r="D18" s="53">
        <f t="shared" si="0"/>
        <v>67762</v>
      </c>
      <c r="E18" s="3">
        <v>14854</v>
      </c>
      <c r="F18" s="1">
        <v>-264</v>
      </c>
      <c r="G18" s="1">
        <f t="shared" si="1"/>
        <v>15118</v>
      </c>
    </row>
    <row r="19" spans="1:7" x14ac:dyDescent="0.25">
      <c r="A19" s="26">
        <v>46091</v>
      </c>
      <c r="B19" s="3">
        <v>121394</v>
      </c>
      <c r="C19" s="3">
        <v>67197</v>
      </c>
      <c r="D19" s="53">
        <f t="shared" si="0"/>
        <v>54197</v>
      </c>
      <c r="E19" s="3">
        <v>-15121</v>
      </c>
      <c r="F19" s="3">
        <v>-1556</v>
      </c>
      <c r="G19" s="1">
        <f t="shared" si="1"/>
        <v>-13565</v>
      </c>
    </row>
    <row r="20" spans="1:7" x14ac:dyDescent="0.25">
      <c r="A20" s="26">
        <v>46098</v>
      </c>
      <c r="B20" s="3">
        <v>136074</v>
      </c>
      <c r="C20" s="3">
        <v>67013</v>
      </c>
      <c r="D20" s="53">
        <f t="shared" si="0"/>
        <v>69061</v>
      </c>
      <c r="E20" s="3">
        <v>14680</v>
      </c>
      <c r="F20" s="1">
        <v>-184</v>
      </c>
      <c r="G20" s="1">
        <f t="shared" si="1"/>
        <v>14864</v>
      </c>
    </row>
    <row r="21" spans="1:7" x14ac:dyDescent="0.25">
      <c r="A21" s="26">
        <v>46105</v>
      </c>
      <c r="B21" s="3">
        <v>132629</v>
      </c>
      <c r="C21" s="3">
        <v>61757</v>
      </c>
      <c r="D21" s="53">
        <f t="shared" si="0"/>
        <v>70872</v>
      </c>
      <c r="E21" s="3">
        <v>-3445</v>
      </c>
      <c r="F21" s="3">
        <v>-5256</v>
      </c>
      <c r="G21" s="1">
        <f t="shared" si="1"/>
        <v>1811</v>
      </c>
    </row>
    <row r="22" spans="1:7" x14ac:dyDescent="0.25">
      <c r="A22" s="27">
        <v>46112</v>
      </c>
      <c r="B22" s="19">
        <v>141775</v>
      </c>
      <c r="C22" s="19">
        <v>60269</v>
      </c>
      <c r="D22" s="43">
        <f t="shared" si="0"/>
        <v>81506</v>
      </c>
      <c r="E22" s="19">
        <v>9146</v>
      </c>
      <c r="F22" s="16">
        <v>1488</v>
      </c>
      <c r="G22" s="16">
        <f t="shared" si="1"/>
        <v>7658</v>
      </c>
    </row>
    <row r="23" spans="1:7" x14ac:dyDescent="0.25">
      <c r="A23" s="27">
        <v>46119</v>
      </c>
      <c r="B23" s="7">
        <v>137959</v>
      </c>
      <c r="C23" s="7">
        <v>67146</v>
      </c>
      <c r="D23" s="43">
        <f t="shared" si="0"/>
        <v>70813</v>
      </c>
      <c r="E23" s="7">
        <v>-3816</v>
      </c>
      <c r="F23" s="7">
        <v>6877</v>
      </c>
      <c r="G23" s="16">
        <f t="shared" si="1"/>
        <v>-10693</v>
      </c>
    </row>
    <row r="24" spans="1:7" x14ac:dyDescent="0.25">
      <c r="A24" s="27">
        <v>46133</v>
      </c>
      <c r="B24" s="7">
        <v>128811</v>
      </c>
      <c r="C24" s="7">
        <v>63994</v>
      </c>
      <c r="D24" s="43">
        <f t="shared" si="0"/>
        <v>64817</v>
      </c>
      <c r="E24">
        <v>-706</v>
      </c>
      <c r="F24">
        <v>-448</v>
      </c>
      <c r="G24" s="16">
        <f t="shared" si="1"/>
        <v>-258</v>
      </c>
    </row>
    <row r="25" spans="1:7" x14ac:dyDescent="0.25">
      <c r="A25" s="27">
        <v>46140</v>
      </c>
      <c r="B25" s="7">
        <v>136909</v>
      </c>
      <c r="C25" s="7">
        <v>65040</v>
      </c>
      <c r="D25" s="43">
        <f t="shared" si="0"/>
        <v>71869</v>
      </c>
      <c r="E25" s="7">
        <v>8098</v>
      </c>
      <c r="F25" s="7">
        <v>1046</v>
      </c>
      <c r="G25" s="16">
        <f t="shared" si="1"/>
        <v>7052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440D-6E6B-4B12-86E6-BEF7B583A71E}">
  <dimension ref="A1:G26"/>
  <sheetViews>
    <sheetView workbookViewId="0">
      <selection activeCell="N25" sqref="N25"/>
    </sheetView>
  </sheetViews>
  <sheetFormatPr defaultRowHeight="15" x14ac:dyDescent="0.25"/>
  <cols>
    <col min="1" max="1" width="18.5703125" style="28" customWidth="1"/>
    <col min="2" max="2" width="21.85546875" bestFit="1" customWidth="1"/>
    <col min="3" max="3" width="22.42578125" style="33" bestFit="1" customWidth="1"/>
    <col min="4" max="4" width="26.5703125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x14ac:dyDescent="0.25">
      <c r="A1" s="25" t="s">
        <v>0</v>
      </c>
      <c r="B1" s="6" t="s">
        <v>1</v>
      </c>
      <c r="C1" s="29" t="s">
        <v>2</v>
      </c>
      <c r="D1" s="8" t="s">
        <v>3</v>
      </c>
      <c r="E1" s="6" t="s">
        <v>4</v>
      </c>
      <c r="F1" s="6" t="s">
        <v>18</v>
      </c>
      <c r="G1" s="6" t="s">
        <v>6</v>
      </c>
    </row>
    <row r="2" spans="1:7" x14ac:dyDescent="0.25">
      <c r="A2" s="26">
        <v>45971</v>
      </c>
      <c r="B2" s="3">
        <v>7403</v>
      </c>
      <c r="C2" s="30">
        <v>43452</v>
      </c>
      <c r="D2" s="11">
        <f>B2-C2</f>
        <v>-36049</v>
      </c>
      <c r="E2" s="3">
        <v>-1406</v>
      </c>
      <c r="F2" s="3">
        <v>2756</v>
      </c>
      <c r="G2" s="1">
        <f>E2-F2</f>
        <v>-4162</v>
      </c>
    </row>
    <row r="3" spans="1:7" x14ac:dyDescent="0.25">
      <c r="A3" s="26">
        <v>45979</v>
      </c>
      <c r="B3" s="3">
        <v>8746</v>
      </c>
      <c r="C3" s="30">
        <v>40931</v>
      </c>
      <c r="D3" s="11">
        <f t="shared" ref="D3:D26" si="0">B3-C3</f>
        <v>-32185</v>
      </c>
      <c r="E3" s="3">
        <v>1343</v>
      </c>
      <c r="F3" s="3">
        <v>-2521</v>
      </c>
      <c r="G3" s="1">
        <f t="shared" ref="G3:G26" si="1">E3-F3</f>
        <v>3864</v>
      </c>
    </row>
    <row r="4" spans="1:7" x14ac:dyDescent="0.25">
      <c r="A4" s="26">
        <v>45986</v>
      </c>
      <c r="B4" s="3">
        <v>7571</v>
      </c>
      <c r="C4" s="30">
        <v>42931</v>
      </c>
      <c r="D4" s="11">
        <f t="shared" si="0"/>
        <v>-35360</v>
      </c>
      <c r="E4" s="3">
        <v>-1175</v>
      </c>
      <c r="F4" s="3">
        <v>2000</v>
      </c>
      <c r="G4" s="1">
        <f t="shared" si="1"/>
        <v>-3175</v>
      </c>
    </row>
    <row r="5" spans="1:7" x14ac:dyDescent="0.25">
      <c r="A5" s="26">
        <v>45993</v>
      </c>
      <c r="B5" s="3">
        <v>6894</v>
      </c>
      <c r="C5" s="30">
        <v>42679</v>
      </c>
      <c r="D5" s="11">
        <f t="shared" si="0"/>
        <v>-35785</v>
      </c>
      <c r="E5" s="1">
        <v>-677</v>
      </c>
      <c r="F5" s="1">
        <v>-252</v>
      </c>
      <c r="G5" s="1">
        <f t="shared" si="1"/>
        <v>-425</v>
      </c>
    </row>
    <row r="6" spans="1:7" x14ac:dyDescent="0.25">
      <c r="A6" s="26">
        <v>46000</v>
      </c>
      <c r="B6" s="3">
        <v>8456</v>
      </c>
      <c r="C6" s="30">
        <v>47059</v>
      </c>
      <c r="D6" s="11">
        <f t="shared" si="0"/>
        <v>-38603</v>
      </c>
      <c r="E6" s="3">
        <v>1562</v>
      </c>
      <c r="F6" s="3">
        <v>4380</v>
      </c>
      <c r="G6" s="1">
        <f t="shared" si="1"/>
        <v>-2818</v>
      </c>
    </row>
    <row r="7" spans="1:7" x14ac:dyDescent="0.25">
      <c r="A7" s="26">
        <v>46007</v>
      </c>
      <c r="B7" s="3">
        <v>9448</v>
      </c>
      <c r="C7" s="30">
        <v>48355</v>
      </c>
      <c r="D7" s="11">
        <f t="shared" si="0"/>
        <v>-38907</v>
      </c>
      <c r="E7" s="1">
        <v>992</v>
      </c>
      <c r="F7" s="3">
        <v>1296</v>
      </c>
      <c r="G7" s="1">
        <f t="shared" si="1"/>
        <v>-304</v>
      </c>
    </row>
    <row r="8" spans="1:7" x14ac:dyDescent="0.25">
      <c r="A8" s="26">
        <v>46014</v>
      </c>
      <c r="B8" s="3">
        <v>8780</v>
      </c>
      <c r="C8" s="30">
        <v>52769</v>
      </c>
      <c r="D8" s="11">
        <f t="shared" si="0"/>
        <v>-43989</v>
      </c>
      <c r="E8" s="1">
        <v>-668</v>
      </c>
      <c r="F8" s="3">
        <v>4414</v>
      </c>
      <c r="G8" s="1">
        <f t="shared" si="1"/>
        <v>-5082</v>
      </c>
    </row>
    <row r="9" spans="1:7" x14ac:dyDescent="0.25">
      <c r="A9" s="26">
        <v>46021</v>
      </c>
      <c r="B9" s="3">
        <v>8910</v>
      </c>
      <c r="C9" s="30">
        <v>53108</v>
      </c>
      <c r="D9" s="11">
        <f t="shared" si="0"/>
        <v>-44198</v>
      </c>
      <c r="E9" s="1">
        <v>130</v>
      </c>
      <c r="F9" s="1">
        <v>339</v>
      </c>
      <c r="G9" s="1">
        <f t="shared" si="1"/>
        <v>-209</v>
      </c>
    </row>
    <row r="10" spans="1:7" x14ac:dyDescent="0.25">
      <c r="A10" s="26">
        <v>46028</v>
      </c>
      <c r="B10" s="3">
        <v>11077</v>
      </c>
      <c r="C10" s="30">
        <v>51343</v>
      </c>
      <c r="D10" s="11">
        <f t="shared" si="0"/>
        <v>-40266</v>
      </c>
      <c r="E10" s="3">
        <v>2167</v>
      </c>
      <c r="F10" s="3">
        <v>-1765</v>
      </c>
      <c r="G10" s="1">
        <f t="shared" si="1"/>
        <v>3932</v>
      </c>
    </row>
    <row r="11" spans="1:7" x14ac:dyDescent="0.25">
      <c r="A11" s="26">
        <v>46035</v>
      </c>
      <c r="B11" s="3">
        <v>13395</v>
      </c>
      <c r="C11" s="30">
        <v>56787</v>
      </c>
      <c r="D11" s="11">
        <f t="shared" si="0"/>
        <v>-43392</v>
      </c>
      <c r="E11" s="3">
        <v>2318</v>
      </c>
      <c r="F11" s="3">
        <v>5444</v>
      </c>
      <c r="G11" s="1">
        <f t="shared" si="1"/>
        <v>-3126</v>
      </c>
    </row>
    <row r="12" spans="1:7" x14ac:dyDescent="0.25">
      <c r="A12" s="26">
        <v>46042</v>
      </c>
      <c r="B12" s="3">
        <v>12257</v>
      </c>
      <c r="C12" s="30">
        <v>55464</v>
      </c>
      <c r="D12" s="12">
        <f>B12-C12</f>
        <v>-43207</v>
      </c>
      <c r="E12" s="3">
        <v>-1138</v>
      </c>
      <c r="F12" s="3">
        <v>-1323</v>
      </c>
      <c r="G12" s="1">
        <f t="shared" si="1"/>
        <v>185</v>
      </c>
    </row>
    <row r="13" spans="1:7" x14ac:dyDescent="0.25">
      <c r="A13" s="26">
        <v>46049</v>
      </c>
      <c r="B13" s="3">
        <v>9724</v>
      </c>
      <c r="C13" s="30">
        <v>52617</v>
      </c>
      <c r="D13" s="12">
        <f>B13-C13</f>
        <v>-42893</v>
      </c>
      <c r="E13" s="3">
        <v>-2533</v>
      </c>
      <c r="F13" s="3">
        <v>-2847</v>
      </c>
      <c r="G13" s="1">
        <f t="shared" si="1"/>
        <v>314</v>
      </c>
    </row>
    <row r="14" spans="1:7" x14ac:dyDescent="0.25">
      <c r="A14" s="26">
        <v>46056</v>
      </c>
      <c r="B14" s="3">
        <v>9687</v>
      </c>
      <c r="C14" s="30">
        <v>50404</v>
      </c>
      <c r="D14" s="11">
        <f t="shared" si="0"/>
        <v>-40717</v>
      </c>
      <c r="E14" s="1">
        <v>-37</v>
      </c>
      <c r="F14" s="3">
        <v>-2213</v>
      </c>
      <c r="G14" s="1">
        <f t="shared" si="1"/>
        <v>2176</v>
      </c>
    </row>
    <row r="15" spans="1:7" x14ac:dyDescent="0.25">
      <c r="A15" s="26">
        <v>46063</v>
      </c>
      <c r="B15" s="3">
        <v>9600</v>
      </c>
      <c r="C15" s="30">
        <v>51859</v>
      </c>
      <c r="D15" s="11">
        <f t="shared" si="0"/>
        <v>-42259</v>
      </c>
      <c r="E15" s="1">
        <v>-87</v>
      </c>
      <c r="F15" s="3">
        <v>1455</v>
      </c>
      <c r="G15" s="1">
        <f t="shared" si="1"/>
        <v>-1542</v>
      </c>
    </row>
    <row r="16" spans="1:7" x14ac:dyDescent="0.25">
      <c r="A16" s="26">
        <v>46070</v>
      </c>
      <c r="B16" s="3">
        <v>10072</v>
      </c>
      <c r="C16" s="30">
        <v>50953</v>
      </c>
      <c r="D16" s="12">
        <f>B16-C16</f>
        <v>-40881</v>
      </c>
      <c r="E16" s="1">
        <v>472</v>
      </c>
      <c r="F16" s="1">
        <v>-906</v>
      </c>
      <c r="G16" s="1">
        <f t="shared" si="1"/>
        <v>1378</v>
      </c>
    </row>
    <row r="17" spans="1:7" x14ac:dyDescent="0.25">
      <c r="A17" s="26">
        <v>46077</v>
      </c>
      <c r="B17" s="3">
        <v>11525</v>
      </c>
      <c r="C17" s="30">
        <v>52711</v>
      </c>
      <c r="D17" s="11">
        <f t="shared" si="0"/>
        <v>-41186</v>
      </c>
      <c r="E17" s="3">
        <v>1453</v>
      </c>
      <c r="F17" s="3">
        <v>1758</v>
      </c>
      <c r="G17" s="1">
        <f t="shared" si="1"/>
        <v>-305</v>
      </c>
    </row>
    <row r="18" spans="1:7" x14ac:dyDescent="0.25">
      <c r="A18" s="26">
        <v>46084</v>
      </c>
      <c r="B18" s="3">
        <v>12390</v>
      </c>
      <c r="C18" s="30">
        <v>53673</v>
      </c>
      <c r="D18" s="11">
        <f t="shared" si="0"/>
        <v>-41283</v>
      </c>
      <c r="E18" s="1">
        <v>865</v>
      </c>
      <c r="F18" s="1">
        <v>962</v>
      </c>
      <c r="G18" s="1">
        <f t="shared" si="1"/>
        <v>-97</v>
      </c>
    </row>
    <row r="19" spans="1:7" x14ac:dyDescent="0.25">
      <c r="A19" s="26">
        <v>46091</v>
      </c>
      <c r="B19" s="3">
        <v>12152</v>
      </c>
      <c r="C19" s="30">
        <v>53244</v>
      </c>
      <c r="D19" s="11">
        <f t="shared" si="0"/>
        <v>-41092</v>
      </c>
      <c r="E19" s="1">
        <v>-238</v>
      </c>
      <c r="F19" s="1">
        <v>-429</v>
      </c>
      <c r="G19" s="1">
        <f t="shared" si="1"/>
        <v>191</v>
      </c>
    </row>
    <row r="20" spans="1:7" x14ac:dyDescent="0.25">
      <c r="A20" s="26">
        <v>46098</v>
      </c>
      <c r="B20" s="3">
        <v>8175</v>
      </c>
      <c r="C20" s="30">
        <v>33388</v>
      </c>
      <c r="D20" s="11">
        <f t="shared" si="0"/>
        <v>-25213</v>
      </c>
      <c r="E20" s="3">
        <v>-3977</v>
      </c>
      <c r="F20" s="3">
        <v>-19856</v>
      </c>
      <c r="G20" s="1">
        <f t="shared" si="1"/>
        <v>15879</v>
      </c>
    </row>
    <row r="21" spans="1:7" x14ac:dyDescent="0.25">
      <c r="A21" s="26">
        <v>46105</v>
      </c>
      <c r="B21" s="3">
        <v>7831</v>
      </c>
      <c r="C21" s="30">
        <v>34928</v>
      </c>
      <c r="D21" s="11">
        <f t="shared" si="0"/>
        <v>-27097</v>
      </c>
      <c r="E21" s="1">
        <v>-344</v>
      </c>
      <c r="F21" s="3">
        <v>1540</v>
      </c>
      <c r="G21" s="1">
        <f t="shared" si="1"/>
        <v>-1884</v>
      </c>
    </row>
    <row r="22" spans="1:7" x14ac:dyDescent="0.25">
      <c r="A22" s="27">
        <v>46112</v>
      </c>
      <c r="B22" s="19">
        <v>9315</v>
      </c>
      <c r="C22" s="31">
        <v>39186</v>
      </c>
      <c r="D22" s="20">
        <f t="shared" si="0"/>
        <v>-29871</v>
      </c>
      <c r="E22" s="16">
        <v>1484</v>
      </c>
      <c r="F22" s="19">
        <v>4258</v>
      </c>
      <c r="G22" s="16">
        <f t="shared" si="1"/>
        <v>-2774</v>
      </c>
    </row>
    <row r="23" spans="1:7" x14ac:dyDescent="0.25">
      <c r="A23" s="27">
        <v>46119</v>
      </c>
      <c r="B23" s="7">
        <v>10586</v>
      </c>
      <c r="C23" s="32">
        <v>41280</v>
      </c>
      <c r="D23" s="20">
        <f t="shared" si="0"/>
        <v>-30694</v>
      </c>
      <c r="E23" s="7">
        <v>1271</v>
      </c>
      <c r="F23" s="7">
        <v>2094</v>
      </c>
      <c r="G23" s="16">
        <f t="shared" si="1"/>
        <v>-823</v>
      </c>
    </row>
    <row r="24" spans="1:7" x14ac:dyDescent="0.25">
      <c r="A24" s="27">
        <v>46126</v>
      </c>
      <c r="B24" s="7">
        <v>9637</v>
      </c>
      <c r="C24" s="32">
        <v>43734</v>
      </c>
      <c r="D24" s="20">
        <f t="shared" si="0"/>
        <v>-34097</v>
      </c>
      <c r="E24">
        <v>-949</v>
      </c>
      <c r="F24" s="7">
        <v>2454</v>
      </c>
      <c r="G24" s="16">
        <f t="shared" si="1"/>
        <v>-3403</v>
      </c>
    </row>
    <row r="25" spans="1:7" x14ac:dyDescent="0.25">
      <c r="A25" s="27">
        <v>46133</v>
      </c>
      <c r="B25" s="7">
        <v>8372</v>
      </c>
      <c r="C25" s="32">
        <v>41645</v>
      </c>
      <c r="D25" s="20">
        <f t="shared" si="0"/>
        <v>-33273</v>
      </c>
      <c r="E25" s="7">
        <v>-1265</v>
      </c>
      <c r="F25" s="7">
        <v>-2089</v>
      </c>
      <c r="G25" s="16">
        <f t="shared" si="1"/>
        <v>824</v>
      </c>
    </row>
    <row r="26" spans="1:7" x14ac:dyDescent="0.25">
      <c r="A26" s="27">
        <v>46140</v>
      </c>
      <c r="B26" s="7">
        <v>6359</v>
      </c>
      <c r="C26" s="32">
        <v>41580</v>
      </c>
      <c r="D26" s="20">
        <f t="shared" si="0"/>
        <v>-35221</v>
      </c>
      <c r="E26" s="7">
        <v>-2013</v>
      </c>
      <c r="F26">
        <v>-65</v>
      </c>
      <c r="G26" s="16">
        <f t="shared" si="1"/>
        <v>-1948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5D1F-7511-410A-9BDB-6D70A2FC177B}">
  <dimension ref="A1:G26"/>
  <sheetViews>
    <sheetView workbookViewId="0">
      <selection activeCell="D36" sqref="D36"/>
    </sheetView>
  </sheetViews>
  <sheetFormatPr defaultRowHeight="15" x14ac:dyDescent="0.25"/>
  <cols>
    <col min="1" max="1" width="15.28515625" style="28" customWidth="1"/>
    <col min="2" max="2" width="21.85546875" customWidth="1"/>
    <col min="3" max="3" width="23" customWidth="1"/>
    <col min="4" max="4" width="25.7109375" style="41" customWidth="1"/>
    <col min="5" max="5" width="16" customWidth="1"/>
    <col min="6" max="6" width="17.85546875" customWidth="1"/>
    <col min="7" max="7" width="12.28515625" customWidth="1"/>
  </cols>
  <sheetData>
    <row r="1" spans="1:7" s="4" customFormat="1" ht="30.75" customHeight="1" x14ac:dyDescent="0.25">
      <c r="A1" s="25" t="s">
        <v>0</v>
      </c>
      <c r="B1" s="6" t="s">
        <v>1</v>
      </c>
      <c r="C1" s="6" t="s">
        <v>2</v>
      </c>
      <c r="D1" s="38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26">
        <v>45941</v>
      </c>
      <c r="B2" s="1">
        <v>52423</v>
      </c>
      <c r="C2" s="1">
        <v>133427</v>
      </c>
      <c r="D2" s="40">
        <f t="shared" ref="D2:D26" si="0">B2-C2</f>
        <v>-81004</v>
      </c>
      <c r="E2" s="1">
        <v>-10694</v>
      </c>
      <c r="F2" s="1">
        <v>15291</v>
      </c>
      <c r="G2" s="1">
        <f t="shared" ref="G2:G19" si="1">E2-F2</f>
        <v>-25985</v>
      </c>
    </row>
    <row r="3" spans="1:7" x14ac:dyDescent="0.25">
      <c r="A3" s="39" t="s">
        <v>7</v>
      </c>
      <c r="B3" s="1">
        <v>53189</v>
      </c>
      <c r="C3" s="1">
        <v>132446</v>
      </c>
      <c r="D3" s="40">
        <f t="shared" si="0"/>
        <v>-79257</v>
      </c>
      <c r="E3" s="1">
        <v>766</v>
      </c>
      <c r="F3" s="1">
        <v>-981</v>
      </c>
      <c r="G3" s="1">
        <f>E3-F3</f>
        <v>1747</v>
      </c>
    </row>
    <row r="4" spans="1:7" x14ac:dyDescent="0.25">
      <c r="A4" s="39" t="s">
        <v>8</v>
      </c>
      <c r="B4" s="1">
        <v>45257</v>
      </c>
      <c r="C4" s="1">
        <v>138478</v>
      </c>
      <c r="D4" s="40">
        <f t="shared" si="0"/>
        <v>-93221</v>
      </c>
      <c r="E4" s="1">
        <v>-7932</v>
      </c>
      <c r="F4" s="1">
        <v>6032</v>
      </c>
      <c r="G4" s="1">
        <f t="shared" si="1"/>
        <v>-13964</v>
      </c>
    </row>
    <row r="5" spans="1:7" x14ac:dyDescent="0.25">
      <c r="A5" s="26">
        <v>45700</v>
      </c>
      <c r="B5" s="1">
        <v>52252</v>
      </c>
      <c r="C5" s="1">
        <v>132432</v>
      </c>
      <c r="D5" s="40">
        <f t="shared" si="0"/>
        <v>-80180</v>
      </c>
      <c r="E5" s="1">
        <v>6995</v>
      </c>
      <c r="F5" s="1">
        <v>-6046</v>
      </c>
      <c r="G5" s="1">
        <f t="shared" si="1"/>
        <v>13041</v>
      </c>
    </row>
    <row r="6" spans="1:7" x14ac:dyDescent="0.25">
      <c r="A6" s="26">
        <v>45912</v>
      </c>
      <c r="B6" s="1">
        <v>60319</v>
      </c>
      <c r="C6" s="1">
        <v>135834</v>
      </c>
      <c r="D6" s="40">
        <f t="shared" si="0"/>
        <v>-75515</v>
      </c>
      <c r="E6" s="1">
        <v>8067</v>
      </c>
      <c r="F6" s="1">
        <v>3402</v>
      </c>
      <c r="G6" s="1">
        <f t="shared" si="1"/>
        <v>4665</v>
      </c>
    </row>
    <row r="7" spans="1:7" x14ac:dyDescent="0.25">
      <c r="A7" s="39" t="s">
        <v>9</v>
      </c>
      <c r="B7" s="1">
        <v>61968</v>
      </c>
      <c r="C7" s="1">
        <v>110466</v>
      </c>
      <c r="D7" s="40">
        <f t="shared" si="0"/>
        <v>-48498</v>
      </c>
      <c r="E7" s="1">
        <v>1649</v>
      </c>
      <c r="F7" s="1">
        <v>-25368</v>
      </c>
      <c r="G7" s="1">
        <f t="shared" si="1"/>
        <v>27017</v>
      </c>
    </row>
    <row r="8" spans="1:7" x14ac:dyDescent="0.25">
      <c r="A8" s="39" t="s">
        <v>10</v>
      </c>
      <c r="B8" s="1">
        <v>63540</v>
      </c>
      <c r="C8" s="1">
        <v>104739</v>
      </c>
      <c r="D8" s="40">
        <f t="shared" si="0"/>
        <v>-41199</v>
      </c>
      <c r="E8" s="1">
        <v>1572</v>
      </c>
      <c r="F8" s="1">
        <v>-5727</v>
      </c>
      <c r="G8" s="1">
        <f t="shared" si="1"/>
        <v>7299</v>
      </c>
    </row>
    <row r="9" spans="1:7" x14ac:dyDescent="0.25">
      <c r="A9" s="39" t="s">
        <v>11</v>
      </c>
      <c r="B9" s="1">
        <v>69492</v>
      </c>
      <c r="C9" s="1">
        <v>102699</v>
      </c>
      <c r="D9" s="40">
        <f t="shared" si="0"/>
        <v>-33207</v>
      </c>
      <c r="E9" s="1">
        <v>5952</v>
      </c>
      <c r="F9" s="1">
        <v>-2040</v>
      </c>
      <c r="G9" s="1">
        <f t="shared" si="1"/>
        <v>7992</v>
      </c>
    </row>
    <row r="10" spans="1:7" x14ac:dyDescent="0.25">
      <c r="A10" s="26">
        <v>46174</v>
      </c>
      <c r="B10" s="1">
        <v>76486</v>
      </c>
      <c r="C10" s="1">
        <v>107024</v>
      </c>
      <c r="D10" s="40">
        <f t="shared" si="0"/>
        <v>-30538</v>
      </c>
      <c r="E10" s="1">
        <v>6994</v>
      </c>
      <c r="F10" s="1">
        <v>4325</v>
      </c>
      <c r="G10" s="1">
        <f t="shared" si="1"/>
        <v>2669</v>
      </c>
    </row>
    <row r="11" spans="1:7" x14ac:dyDescent="0.25">
      <c r="A11" s="39" t="s">
        <v>12</v>
      </c>
      <c r="B11" s="1">
        <v>79003</v>
      </c>
      <c r="C11" s="1">
        <v>104273</v>
      </c>
      <c r="D11" s="40">
        <f t="shared" si="0"/>
        <v>-25270</v>
      </c>
      <c r="E11" s="1">
        <v>2517</v>
      </c>
      <c r="F11" s="1">
        <v>-2751</v>
      </c>
      <c r="G11" s="1">
        <f t="shared" si="1"/>
        <v>5268</v>
      </c>
    </row>
    <row r="12" spans="1:7" x14ac:dyDescent="0.25">
      <c r="A12" s="39" t="s">
        <v>13</v>
      </c>
      <c r="B12" s="1">
        <v>81332</v>
      </c>
      <c r="C12" s="1">
        <v>103312</v>
      </c>
      <c r="D12" s="40">
        <f t="shared" si="0"/>
        <v>-21980</v>
      </c>
      <c r="E12" s="1">
        <v>2329</v>
      </c>
      <c r="F12" s="1">
        <v>-961</v>
      </c>
      <c r="G12" s="1">
        <f t="shared" si="1"/>
        <v>3290</v>
      </c>
    </row>
    <row r="13" spans="1:7" x14ac:dyDescent="0.25">
      <c r="A13" s="39" t="s">
        <v>14</v>
      </c>
      <c r="B13" s="1">
        <v>87786</v>
      </c>
      <c r="C13" s="1">
        <v>103948</v>
      </c>
      <c r="D13" s="40">
        <f t="shared" si="0"/>
        <v>-16162</v>
      </c>
      <c r="E13" s="1">
        <v>6454</v>
      </c>
      <c r="F13" s="1">
        <v>636</v>
      </c>
      <c r="G13" s="1">
        <f t="shared" si="1"/>
        <v>5818</v>
      </c>
    </row>
    <row r="14" spans="1:7" x14ac:dyDescent="0.25">
      <c r="A14" s="26">
        <v>46083</v>
      </c>
      <c r="B14" s="1">
        <v>94893</v>
      </c>
      <c r="C14" s="1">
        <v>108804</v>
      </c>
      <c r="D14" s="40">
        <f t="shared" si="0"/>
        <v>-13911</v>
      </c>
      <c r="E14" s="1">
        <v>7107</v>
      </c>
      <c r="F14" s="1">
        <v>4856</v>
      </c>
      <c r="G14" s="1">
        <f t="shared" si="1"/>
        <v>2251</v>
      </c>
    </row>
    <row r="15" spans="1:7" x14ac:dyDescent="0.25">
      <c r="A15" s="26">
        <v>46297</v>
      </c>
      <c r="B15" s="1">
        <v>88373</v>
      </c>
      <c r="C15" s="1">
        <v>114183</v>
      </c>
      <c r="D15" s="40">
        <f t="shared" si="0"/>
        <v>-25810</v>
      </c>
      <c r="E15" s="1">
        <v>-6520</v>
      </c>
      <c r="F15" s="1">
        <v>5379</v>
      </c>
      <c r="G15" s="1">
        <f t="shared" si="1"/>
        <v>-11899</v>
      </c>
    </row>
    <row r="16" spans="1:7" x14ac:dyDescent="0.25">
      <c r="A16" s="39" t="s">
        <v>15</v>
      </c>
      <c r="B16" s="1">
        <v>82015</v>
      </c>
      <c r="C16" s="1">
        <v>124419</v>
      </c>
      <c r="D16" s="40">
        <f t="shared" si="0"/>
        <v>-42404</v>
      </c>
      <c r="E16" s="1">
        <v>-6358</v>
      </c>
      <c r="F16" s="1">
        <v>10236</v>
      </c>
      <c r="G16" s="1">
        <f t="shared" si="1"/>
        <v>-16594</v>
      </c>
    </row>
    <row r="17" spans="1:7" x14ac:dyDescent="0.25">
      <c r="A17" s="39" t="s">
        <v>16</v>
      </c>
      <c r="B17" s="1">
        <v>67213</v>
      </c>
      <c r="C17" s="1">
        <v>124285</v>
      </c>
      <c r="D17" s="40">
        <f t="shared" si="0"/>
        <v>-57072</v>
      </c>
      <c r="E17" s="1">
        <v>-14802</v>
      </c>
      <c r="F17" s="1">
        <v>-134</v>
      </c>
      <c r="G17" s="1">
        <f t="shared" si="1"/>
        <v>-14668</v>
      </c>
    </row>
    <row r="18" spans="1:7" x14ac:dyDescent="0.25">
      <c r="A18" s="26">
        <v>46084</v>
      </c>
      <c r="B18" s="1">
        <v>59499</v>
      </c>
      <c r="C18" s="1">
        <v>132185</v>
      </c>
      <c r="D18" s="40">
        <f t="shared" si="0"/>
        <v>-72686</v>
      </c>
      <c r="E18" s="1">
        <v>-7714</v>
      </c>
      <c r="F18" s="1">
        <v>7900</v>
      </c>
      <c r="G18" s="1">
        <f t="shared" si="1"/>
        <v>-15614</v>
      </c>
    </row>
    <row r="19" spans="1:7" x14ac:dyDescent="0.25">
      <c r="A19" s="26">
        <v>46298</v>
      </c>
      <c r="B19" s="1">
        <v>49270</v>
      </c>
      <c r="C19" s="1">
        <v>133467</v>
      </c>
      <c r="D19" s="40">
        <f t="shared" si="0"/>
        <v>-84197</v>
      </c>
      <c r="E19" s="1">
        <v>-10229</v>
      </c>
      <c r="F19" s="1">
        <v>1282</v>
      </c>
      <c r="G19" s="1">
        <f t="shared" si="1"/>
        <v>-11511</v>
      </c>
    </row>
    <row r="20" spans="1:7" x14ac:dyDescent="0.25">
      <c r="A20" s="39" t="s">
        <v>17</v>
      </c>
      <c r="B20" s="1">
        <v>44293</v>
      </c>
      <c r="C20" s="1">
        <v>109808</v>
      </c>
      <c r="D20" s="40">
        <f t="shared" si="0"/>
        <v>-65515</v>
      </c>
      <c r="E20" s="1">
        <v>-4977</v>
      </c>
      <c r="F20" s="1">
        <v>-23659</v>
      </c>
      <c r="G20" s="1">
        <f t="shared" ref="G20:G26" si="2">E20-F20</f>
        <v>18682</v>
      </c>
    </row>
    <row r="21" spans="1:7" x14ac:dyDescent="0.25">
      <c r="A21" s="26" t="s">
        <v>19</v>
      </c>
      <c r="B21" s="3">
        <v>46459</v>
      </c>
      <c r="C21" s="3">
        <v>104881</v>
      </c>
      <c r="D21" s="40">
        <f t="shared" si="0"/>
        <v>-58422</v>
      </c>
      <c r="E21" s="3">
        <v>2166</v>
      </c>
      <c r="F21" s="3">
        <v>-4927</v>
      </c>
      <c r="G21" s="1">
        <f t="shared" si="2"/>
        <v>7093</v>
      </c>
    </row>
    <row r="22" spans="1:7" x14ac:dyDescent="0.25">
      <c r="A22" s="28" t="s">
        <v>20</v>
      </c>
      <c r="B22" s="16">
        <v>51304</v>
      </c>
      <c r="C22" s="16">
        <v>103969</v>
      </c>
      <c r="D22" s="41">
        <f t="shared" si="0"/>
        <v>-52665</v>
      </c>
      <c r="E22" s="16">
        <v>4845</v>
      </c>
      <c r="F22" s="16">
        <v>912</v>
      </c>
      <c r="G22" s="16">
        <f t="shared" si="2"/>
        <v>3933</v>
      </c>
    </row>
    <row r="23" spans="1:7" x14ac:dyDescent="0.25">
      <c r="A23" s="27">
        <v>46119</v>
      </c>
      <c r="B23" s="7">
        <v>47344</v>
      </c>
      <c r="C23" s="7">
        <v>103698</v>
      </c>
      <c r="D23" s="41">
        <f t="shared" si="0"/>
        <v>-56354</v>
      </c>
      <c r="E23" s="7">
        <v>-3960</v>
      </c>
      <c r="F23">
        <v>-271</v>
      </c>
      <c r="G23" s="16">
        <f t="shared" si="2"/>
        <v>-3689</v>
      </c>
    </row>
    <row r="24" spans="1:7" x14ac:dyDescent="0.25">
      <c r="A24" s="27">
        <v>46126</v>
      </c>
      <c r="B24" s="7">
        <v>54947</v>
      </c>
      <c r="C24" s="7">
        <v>109671</v>
      </c>
      <c r="D24" s="41">
        <f t="shared" si="0"/>
        <v>-54724</v>
      </c>
      <c r="E24" s="7">
        <v>7603</v>
      </c>
      <c r="F24" s="7">
        <v>5973</v>
      </c>
      <c r="G24" s="16">
        <f t="shared" si="2"/>
        <v>1630</v>
      </c>
    </row>
    <row r="25" spans="1:7" x14ac:dyDescent="0.25">
      <c r="A25" s="27">
        <v>46133</v>
      </c>
      <c r="B25" s="7">
        <v>63086</v>
      </c>
      <c r="C25" s="7">
        <v>115125</v>
      </c>
      <c r="D25" s="41">
        <f t="shared" si="0"/>
        <v>-52039</v>
      </c>
      <c r="E25" s="7">
        <v>8139</v>
      </c>
      <c r="F25" s="7">
        <v>5454</v>
      </c>
      <c r="G25" s="16">
        <f t="shared" si="2"/>
        <v>2685</v>
      </c>
    </row>
    <row r="26" spans="1:7" x14ac:dyDescent="0.25">
      <c r="A26" s="27">
        <v>46140</v>
      </c>
      <c r="B26" s="7">
        <v>59577</v>
      </c>
      <c r="C26" s="7">
        <v>120216</v>
      </c>
      <c r="D26" s="41">
        <f t="shared" si="0"/>
        <v>-60639</v>
      </c>
      <c r="E26" s="7">
        <v>-3509</v>
      </c>
      <c r="F26" s="7">
        <v>5091</v>
      </c>
      <c r="G26" s="16">
        <f t="shared" si="2"/>
        <v>-8600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CBF1-DFF0-4C27-BC6C-1C623368F16D}">
  <dimension ref="A1:H26"/>
  <sheetViews>
    <sheetView workbookViewId="0">
      <selection activeCell="E28" sqref="E28"/>
    </sheetView>
  </sheetViews>
  <sheetFormatPr defaultRowHeight="15" x14ac:dyDescent="0.25"/>
  <cols>
    <col min="1" max="1" width="10.7109375" style="28" bestFit="1" customWidth="1"/>
    <col min="2" max="2" width="21.85546875" customWidth="1"/>
    <col min="3" max="3" width="23" customWidth="1"/>
    <col min="4" max="4" width="25.7109375" style="41" customWidth="1"/>
    <col min="5" max="5" width="16" customWidth="1"/>
    <col min="6" max="6" width="17.85546875" customWidth="1"/>
    <col min="7" max="7" width="12.28515625" customWidth="1"/>
  </cols>
  <sheetData>
    <row r="1" spans="1:7" s="4" customFormat="1" ht="30.75" customHeight="1" x14ac:dyDescent="0.25">
      <c r="A1" s="25" t="s">
        <v>0</v>
      </c>
      <c r="B1" s="6" t="s">
        <v>1</v>
      </c>
      <c r="C1" s="6" t="s">
        <v>2</v>
      </c>
      <c r="D1" s="38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26">
        <v>45941</v>
      </c>
      <c r="B2" s="1">
        <v>172349</v>
      </c>
      <c r="C2" s="1">
        <v>123873</v>
      </c>
      <c r="D2" s="40">
        <f t="shared" ref="D2:D20" si="0">B2-C2</f>
        <v>48476</v>
      </c>
      <c r="E2" s="1">
        <v>2169</v>
      </c>
      <c r="F2" s="1">
        <v>4958</v>
      </c>
      <c r="G2" s="1">
        <f t="shared" ref="G2:G26" si="1">E2-F2</f>
        <v>-2789</v>
      </c>
    </row>
    <row r="3" spans="1:7" x14ac:dyDescent="0.25">
      <c r="A3" s="39" t="s">
        <v>7</v>
      </c>
      <c r="B3" s="1">
        <v>169890</v>
      </c>
      <c r="C3" s="1">
        <v>138733</v>
      </c>
      <c r="D3" s="40">
        <f t="shared" si="0"/>
        <v>31157</v>
      </c>
      <c r="E3" s="1">
        <v>-2459</v>
      </c>
      <c r="F3" s="1">
        <v>14860</v>
      </c>
      <c r="G3" s="1">
        <f>E3-F3</f>
        <v>-17319</v>
      </c>
    </row>
    <row r="4" spans="1:7" x14ac:dyDescent="0.25">
      <c r="A4" s="39" t="s">
        <v>8</v>
      </c>
      <c r="B4" s="1">
        <v>169218</v>
      </c>
      <c r="C4" s="1">
        <v>142701</v>
      </c>
      <c r="D4" s="40">
        <f t="shared" si="0"/>
        <v>26517</v>
      </c>
      <c r="E4" s="1">
        <v>-672</v>
      </c>
      <c r="F4" s="1">
        <v>3968</v>
      </c>
      <c r="G4" s="1">
        <f t="shared" si="1"/>
        <v>-4640</v>
      </c>
    </row>
    <row r="5" spans="1:7" x14ac:dyDescent="0.25">
      <c r="A5" s="26">
        <v>45700</v>
      </c>
      <c r="B5" s="1">
        <v>184958</v>
      </c>
      <c r="C5" s="1">
        <v>148540</v>
      </c>
      <c r="D5" s="40">
        <f t="shared" si="0"/>
        <v>36418</v>
      </c>
      <c r="E5" s="1">
        <v>15740</v>
      </c>
      <c r="F5" s="1">
        <v>5839</v>
      </c>
      <c r="G5" s="1">
        <f t="shared" si="1"/>
        <v>9901</v>
      </c>
    </row>
    <row r="6" spans="1:7" x14ac:dyDescent="0.25">
      <c r="A6" s="26">
        <v>45912</v>
      </c>
      <c r="B6" s="1">
        <v>184488</v>
      </c>
      <c r="C6" s="1">
        <v>167040</v>
      </c>
      <c r="D6" s="40">
        <f t="shared" si="0"/>
        <v>17448</v>
      </c>
      <c r="E6" s="1">
        <v>-470</v>
      </c>
      <c r="F6" s="1">
        <v>18500</v>
      </c>
      <c r="G6" s="1">
        <f t="shared" si="1"/>
        <v>-18970</v>
      </c>
    </row>
    <row r="7" spans="1:7" x14ac:dyDescent="0.25">
      <c r="A7" s="39" t="s">
        <v>9</v>
      </c>
      <c r="B7" s="1">
        <v>146275</v>
      </c>
      <c r="C7" s="1">
        <v>149217</v>
      </c>
      <c r="D7" s="40">
        <f t="shared" si="0"/>
        <v>-2942</v>
      </c>
      <c r="E7" s="1">
        <v>-38213</v>
      </c>
      <c r="F7" s="1">
        <v>-17823</v>
      </c>
      <c r="G7" s="1">
        <f t="shared" si="1"/>
        <v>-20390</v>
      </c>
    </row>
    <row r="8" spans="1:7" x14ac:dyDescent="0.25">
      <c r="A8" s="39" t="s">
        <v>10</v>
      </c>
      <c r="B8" s="1">
        <v>141133</v>
      </c>
      <c r="C8" s="1">
        <v>139910</v>
      </c>
      <c r="D8" s="40">
        <f t="shared" si="0"/>
        <v>1223</v>
      </c>
      <c r="E8" s="1">
        <v>-5142</v>
      </c>
      <c r="F8" s="1">
        <v>-9307</v>
      </c>
      <c r="G8" s="1">
        <f t="shared" si="1"/>
        <v>4165</v>
      </c>
    </row>
    <row r="9" spans="1:7" x14ac:dyDescent="0.25">
      <c r="A9" s="39" t="s">
        <v>11</v>
      </c>
      <c r="B9" s="1">
        <v>144596</v>
      </c>
      <c r="C9" s="1">
        <v>130528</v>
      </c>
      <c r="D9" s="40">
        <f t="shared" si="0"/>
        <v>14068</v>
      </c>
      <c r="E9" s="1">
        <v>3463</v>
      </c>
      <c r="F9" s="1">
        <v>-9382</v>
      </c>
      <c r="G9" s="1">
        <f t="shared" si="1"/>
        <v>12845</v>
      </c>
    </row>
    <row r="10" spans="1:7" x14ac:dyDescent="0.25">
      <c r="A10" s="26">
        <v>46174</v>
      </c>
      <c r="B10" s="1">
        <v>140441</v>
      </c>
      <c r="C10" s="1">
        <v>131626</v>
      </c>
      <c r="D10" s="40">
        <f t="shared" si="0"/>
        <v>8815</v>
      </c>
      <c r="E10" s="1">
        <v>-4155</v>
      </c>
      <c r="F10" s="1">
        <v>1098</v>
      </c>
      <c r="G10" s="1">
        <f t="shared" si="1"/>
        <v>-5253</v>
      </c>
    </row>
    <row r="11" spans="1:7" x14ac:dyDescent="0.25">
      <c r="A11" s="39" t="s">
        <v>12</v>
      </c>
      <c r="B11" s="1">
        <v>111743</v>
      </c>
      <c r="C11" s="1">
        <v>156907</v>
      </c>
      <c r="D11" s="40">
        <f t="shared" si="0"/>
        <v>-45164</v>
      </c>
      <c r="E11" s="1">
        <v>-28698</v>
      </c>
      <c r="F11" s="1">
        <v>25281</v>
      </c>
      <c r="G11" s="1">
        <f t="shared" si="1"/>
        <v>-53979</v>
      </c>
    </row>
    <row r="12" spans="1:7" x14ac:dyDescent="0.25">
      <c r="A12" s="39" t="s">
        <v>13</v>
      </c>
      <c r="B12" s="1">
        <v>107139</v>
      </c>
      <c r="C12" s="1">
        <v>151968</v>
      </c>
      <c r="D12" s="40">
        <f t="shared" si="0"/>
        <v>-44829</v>
      </c>
      <c r="E12" s="1">
        <v>-4604</v>
      </c>
      <c r="F12" s="1">
        <v>-4939</v>
      </c>
      <c r="G12" s="1">
        <f t="shared" si="1"/>
        <v>335</v>
      </c>
    </row>
    <row r="13" spans="1:7" x14ac:dyDescent="0.25">
      <c r="A13" s="39" t="s">
        <v>14</v>
      </c>
      <c r="B13" s="1">
        <v>104460</v>
      </c>
      <c r="C13" s="1">
        <v>138393</v>
      </c>
      <c r="D13" s="40">
        <f t="shared" si="0"/>
        <v>-33933</v>
      </c>
      <c r="E13" s="1">
        <v>-2679</v>
      </c>
      <c r="F13" s="1">
        <v>-13575</v>
      </c>
      <c r="G13" s="1">
        <f t="shared" si="1"/>
        <v>10896</v>
      </c>
    </row>
    <row r="14" spans="1:7" x14ac:dyDescent="0.25">
      <c r="A14" s="26">
        <v>46083</v>
      </c>
      <c r="B14" s="1">
        <v>114428</v>
      </c>
      <c r="C14" s="1">
        <v>133650</v>
      </c>
      <c r="D14" s="40">
        <f t="shared" si="0"/>
        <v>-19222</v>
      </c>
      <c r="E14" s="1">
        <v>9968</v>
      </c>
      <c r="F14" s="1">
        <v>-4743</v>
      </c>
      <c r="G14" s="1">
        <f t="shared" si="1"/>
        <v>14711</v>
      </c>
    </row>
    <row r="15" spans="1:7" x14ac:dyDescent="0.25">
      <c r="A15" s="26">
        <v>46297</v>
      </c>
      <c r="B15" s="1">
        <v>128090</v>
      </c>
      <c r="C15" s="1">
        <v>147196</v>
      </c>
      <c r="D15" s="40">
        <f t="shared" si="0"/>
        <v>-19106</v>
      </c>
      <c r="E15" s="1">
        <v>13662</v>
      </c>
      <c r="F15" s="1">
        <v>1354</v>
      </c>
      <c r="G15" s="1">
        <f t="shared" si="1"/>
        <v>12308</v>
      </c>
    </row>
    <row r="16" spans="1:7" x14ac:dyDescent="0.25">
      <c r="A16" s="39" t="s">
        <v>15</v>
      </c>
      <c r="B16" s="1">
        <v>143172</v>
      </c>
      <c r="C16" s="1">
        <v>130217</v>
      </c>
      <c r="D16" s="40">
        <f t="shared" si="0"/>
        <v>12955</v>
      </c>
      <c r="E16" s="1">
        <v>15082</v>
      </c>
      <c r="F16" s="1">
        <v>-16979</v>
      </c>
      <c r="G16" s="1">
        <f t="shared" si="1"/>
        <v>32061</v>
      </c>
    </row>
    <row r="17" spans="1:8" x14ac:dyDescent="0.25">
      <c r="A17" s="39" t="s">
        <v>16</v>
      </c>
      <c r="B17" s="1">
        <v>149364</v>
      </c>
      <c r="C17" s="1">
        <v>137825</v>
      </c>
      <c r="D17" s="40">
        <f t="shared" si="0"/>
        <v>11539</v>
      </c>
      <c r="E17" s="1">
        <v>6192</v>
      </c>
      <c r="F17" s="1">
        <v>7608</v>
      </c>
      <c r="G17" s="1">
        <f t="shared" si="1"/>
        <v>-1416</v>
      </c>
    </row>
    <row r="18" spans="1:8" x14ac:dyDescent="0.25">
      <c r="A18" s="26">
        <v>46084</v>
      </c>
      <c r="B18" s="1">
        <v>134945</v>
      </c>
      <c r="C18" s="1">
        <v>151520</v>
      </c>
      <c r="D18" s="40">
        <f t="shared" si="0"/>
        <v>-16575</v>
      </c>
      <c r="E18" s="1">
        <v>-14419</v>
      </c>
      <c r="F18" s="1">
        <v>13695</v>
      </c>
      <c r="G18" s="1">
        <f t="shared" si="1"/>
        <v>-28114</v>
      </c>
    </row>
    <row r="19" spans="1:8" x14ac:dyDescent="0.25">
      <c r="A19" s="26">
        <v>46298</v>
      </c>
      <c r="B19" s="1">
        <v>119411</v>
      </c>
      <c r="C19" s="1">
        <v>160798</v>
      </c>
      <c r="D19" s="40">
        <f t="shared" si="0"/>
        <v>-41387</v>
      </c>
      <c r="E19" s="1">
        <v>-15534</v>
      </c>
      <c r="F19" s="1">
        <v>9278</v>
      </c>
      <c r="G19" s="1">
        <f t="shared" si="1"/>
        <v>-24812</v>
      </c>
    </row>
    <row r="20" spans="1:8" x14ac:dyDescent="0.25">
      <c r="A20" s="39" t="s">
        <v>17</v>
      </c>
      <c r="B20" s="1">
        <v>106819</v>
      </c>
      <c r="C20" s="1">
        <v>174599</v>
      </c>
      <c r="D20" s="40">
        <f t="shared" si="0"/>
        <v>-67780</v>
      </c>
      <c r="E20" s="1">
        <v>-12592</v>
      </c>
      <c r="F20" s="1">
        <v>13801</v>
      </c>
      <c r="G20" s="1">
        <f t="shared" si="1"/>
        <v>-26393</v>
      </c>
    </row>
    <row r="21" spans="1:8" x14ac:dyDescent="0.25">
      <c r="A21" s="26" t="s">
        <v>19</v>
      </c>
      <c r="B21" s="3">
        <v>98271</v>
      </c>
      <c r="C21" s="3">
        <v>161077</v>
      </c>
      <c r="D21" s="40">
        <f t="shared" ref="D21:D26" si="2">B21-C21</f>
        <v>-62806</v>
      </c>
      <c r="E21" s="3">
        <v>-8548</v>
      </c>
      <c r="F21" s="3">
        <v>-13522</v>
      </c>
      <c r="G21" s="1">
        <f t="shared" si="1"/>
        <v>4974</v>
      </c>
    </row>
    <row r="22" spans="1:8" x14ac:dyDescent="0.25">
      <c r="A22" s="28" t="s">
        <v>20</v>
      </c>
      <c r="B22" s="2">
        <v>95356</v>
      </c>
      <c r="C22" s="2">
        <v>168228</v>
      </c>
      <c r="D22" s="41">
        <f t="shared" si="2"/>
        <v>-72872</v>
      </c>
      <c r="E22" s="2">
        <v>-2915</v>
      </c>
      <c r="F22" s="2">
        <v>7151</v>
      </c>
      <c r="G22" s="2">
        <f t="shared" si="1"/>
        <v>-10066</v>
      </c>
    </row>
    <row r="23" spans="1:8" x14ac:dyDescent="0.25">
      <c r="A23" s="27">
        <v>46119</v>
      </c>
      <c r="B23" s="21">
        <v>91560</v>
      </c>
      <c r="C23" s="21">
        <v>185302</v>
      </c>
      <c r="D23" s="41">
        <f t="shared" si="2"/>
        <v>-93742</v>
      </c>
      <c r="E23" s="21">
        <v>-3796</v>
      </c>
      <c r="F23" s="21">
        <v>17074</v>
      </c>
      <c r="G23" s="2">
        <f t="shared" si="1"/>
        <v>-20870</v>
      </c>
      <c r="H23" s="2"/>
    </row>
    <row r="24" spans="1:8" x14ac:dyDescent="0.25">
      <c r="A24" s="27" t="s">
        <v>21</v>
      </c>
      <c r="B24" s="7">
        <v>102114</v>
      </c>
      <c r="C24" s="7">
        <v>185322</v>
      </c>
      <c r="D24" s="41">
        <f t="shared" si="2"/>
        <v>-83208</v>
      </c>
      <c r="E24" s="7">
        <v>10554</v>
      </c>
      <c r="F24">
        <v>20</v>
      </c>
      <c r="G24" s="2">
        <f t="shared" si="1"/>
        <v>10534</v>
      </c>
    </row>
    <row r="25" spans="1:8" x14ac:dyDescent="0.25">
      <c r="A25" s="27">
        <v>46133</v>
      </c>
      <c r="B25" s="7">
        <v>101386</v>
      </c>
      <c r="C25" s="7">
        <v>195846</v>
      </c>
      <c r="D25" s="41">
        <f t="shared" si="2"/>
        <v>-94460</v>
      </c>
      <c r="E25" s="2">
        <v>-728</v>
      </c>
      <c r="F25" s="21">
        <v>10524</v>
      </c>
      <c r="G25" s="2">
        <f t="shared" si="1"/>
        <v>-11252</v>
      </c>
    </row>
    <row r="26" spans="1:8" x14ac:dyDescent="0.25">
      <c r="A26" s="27">
        <v>46140</v>
      </c>
      <c r="B26" s="7">
        <v>106530</v>
      </c>
      <c r="C26" s="7">
        <v>208589</v>
      </c>
      <c r="D26" s="41">
        <f t="shared" si="2"/>
        <v>-102059</v>
      </c>
      <c r="E26" s="7">
        <v>5144</v>
      </c>
      <c r="F26" s="7">
        <v>12743</v>
      </c>
      <c r="G26" s="2">
        <f t="shared" si="1"/>
        <v>-7599</v>
      </c>
    </row>
  </sheetData>
  <phoneticPr fontId="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40EE-8D54-47CC-9557-EC14C0D36988}">
  <dimension ref="A1:G26"/>
  <sheetViews>
    <sheetView workbookViewId="0">
      <selection activeCell="C29" sqref="C29"/>
    </sheetView>
  </sheetViews>
  <sheetFormatPr defaultRowHeight="15" x14ac:dyDescent="0.25"/>
  <cols>
    <col min="1" max="1" width="12.28515625" style="28" customWidth="1"/>
    <col min="2" max="2" width="21.85546875" bestFit="1" customWidth="1"/>
    <col min="3" max="3" width="22.42578125" bestFit="1" customWidth="1"/>
    <col min="4" max="4" width="26.5703125" style="43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s="5" customFormat="1" ht="29.25" customHeight="1" x14ac:dyDescent="0.25">
      <c r="A1" s="25" t="s">
        <v>0</v>
      </c>
      <c r="B1" s="6" t="s">
        <v>1</v>
      </c>
      <c r="C1" s="6" t="s">
        <v>2</v>
      </c>
      <c r="D1" s="36" t="s">
        <v>3</v>
      </c>
      <c r="E1" s="6" t="s">
        <v>4</v>
      </c>
      <c r="F1" s="6" t="s">
        <v>18</v>
      </c>
      <c r="G1" s="6" t="s">
        <v>6</v>
      </c>
    </row>
    <row r="2" spans="1:7" x14ac:dyDescent="0.25">
      <c r="A2" s="26">
        <v>45971</v>
      </c>
      <c r="B2" s="3">
        <v>23151</v>
      </c>
      <c r="C2" s="3">
        <v>180786</v>
      </c>
      <c r="D2" s="42">
        <f>B2-C2</f>
        <v>-157635</v>
      </c>
      <c r="E2" s="3">
        <v>-4035</v>
      </c>
      <c r="F2" s="3">
        <v>-5912</v>
      </c>
      <c r="G2" s="3">
        <f>E2-F2</f>
        <v>1877</v>
      </c>
    </row>
    <row r="3" spans="1:7" x14ac:dyDescent="0.25">
      <c r="A3" s="26">
        <v>45979</v>
      </c>
      <c r="B3" s="3">
        <v>24252</v>
      </c>
      <c r="C3" s="3">
        <v>173351</v>
      </c>
      <c r="D3" s="42">
        <f t="shared" ref="D3:D26" si="0">B3-C3</f>
        <v>-149099</v>
      </c>
      <c r="E3" s="3">
        <v>1101</v>
      </c>
      <c r="F3" s="3">
        <v>-7435</v>
      </c>
      <c r="G3" s="3">
        <f t="shared" ref="G3:G26" si="1">E3-F3</f>
        <v>8536</v>
      </c>
    </row>
    <row r="4" spans="1:7" x14ac:dyDescent="0.25">
      <c r="A4" s="26">
        <v>45986</v>
      </c>
      <c r="B4" s="3">
        <v>21438</v>
      </c>
      <c r="C4" s="3">
        <v>171852</v>
      </c>
      <c r="D4" s="42">
        <f t="shared" si="0"/>
        <v>-150414</v>
      </c>
      <c r="E4" s="3">
        <v>-2814</v>
      </c>
      <c r="F4" s="3">
        <v>-1499</v>
      </c>
      <c r="G4" s="3">
        <f t="shared" si="1"/>
        <v>-1315</v>
      </c>
    </row>
    <row r="5" spans="1:7" x14ac:dyDescent="0.25">
      <c r="A5" s="26">
        <v>45993</v>
      </c>
      <c r="B5" s="3">
        <v>19047</v>
      </c>
      <c r="C5" s="3">
        <v>169094</v>
      </c>
      <c r="D5" s="42">
        <f t="shared" si="0"/>
        <v>-150047</v>
      </c>
      <c r="E5" s="3">
        <v>-2391</v>
      </c>
      <c r="F5" s="3">
        <v>-2758</v>
      </c>
      <c r="G5" s="3">
        <f t="shared" si="1"/>
        <v>367</v>
      </c>
    </row>
    <row r="6" spans="1:7" x14ac:dyDescent="0.25">
      <c r="A6" s="26">
        <v>46000</v>
      </c>
      <c r="B6" s="3">
        <v>15794</v>
      </c>
      <c r="C6" s="3">
        <v>146394</v>
      </c>
      <c r="D6" s="42">
        <f t="shared" si="0"/>
        <v>-130600</v>
      </c>
      <c r="E6" s="3">
        <v>-3253</v>
      </c>
      <c r="F6" s="3">
        <v>-22700</v>
      </c>
      <c r="G6" s="3">
        <f t="shared" si="1"/>
        <v>19447</v>
      </c>
    </row>
    <row r="7" spans="1:7" x14ac:dyDescent="0.25">
      <c r="A7" s="26">
        <v>46007</v>
      </c>
      <c r="B7" s="3">
        <v>25653</v>
      </c>
      <c r="C7" s="3">
        <v>112293</v>
      </c>
      <c r="D7" s="42">
        <f t="shared" si="0"/>
        <v>-86640</v>
      </c>
      <c r="E7" s="3">
        <v>9859</v>
      </c>
      <c r="F7" s="3">
        <v>-34101</v>
      </c>
      <c r="G7" s="3">
        <f t="shared" si="1"/>
        <v>43960</v>
      </c>
    </row>
    <row r="8" spans="1:7" x14ac:dyDescent="0.25">
      <c r="A8" s="26">
        <v>46014</v>
      </c>
      <c r="B8" s="3">
        <v>41739</v>
      </c>
      <c r="C8" s="3">
        <v>97532</v>
      </c>
      <c r="D8" s="42">
        <f t="shared" si="0"/>
        <v>-55793</v>
      </c>
      <c r="E8" s="3">
        <v>16086</v>
      </c>
      <c r="F8" s="3">
        <v>-14761</v>
      </c>
      <c r="G8" s="3">
        <f t="shared" si="1"/>
        <v>30847</v>
      </c>
    </row>
    <row r="9" spans="1:7" x14ac:dyDescent="0.25">
      <c r="A9" s="26">
        <v>46021</v>
      </c>
      <c r="B9" s="3">
        <v>52787</v>
      </c>
      <c r="C9" s="3">
        <v>93298</v>
      </c>
      <c r="D9" s="42">
        <f t="shared" si="0"/>
        <v>-40511</v>
      </c>
      <c r="E9" s="3">
        <v>11048</v>
      </c>
      <c r="F9" s="3">
        <v>-4234</v>
      </c>
      <c r="G9" s="3">
        <f t="shared" si="1"/>
        <v>15282</v>
      </c>
    </row>
    <row r="10" spans="1:7" x14ac:dyDescent="0.25">
      <c r="A10" s="26">
        <v>46028</v>
      </c>
      <c r="B10" s="3">
        <v>56931</v>
      </c>
      <c r="C10" s="3">
        <v>97516</v>
      </c>
      <c r="D10" s="42">
        <f t="shared" si="0"/>
        <v>-40585</v>
      </c>
      <c r="E10" s="3">
        <v>4144</v>
      </c>
      <c r="F10" s="3">
        <v>4218</v>
      </c>
      <c r="G10" s="3">
        <f t="shared" si="1"/>
        <v>-74</v>
      </c>
    </row>
    <row r="11" spans="1:7" x14ac:dyDescent="0.25">
      <c r="A11" s="26">
        <v>46035</v>
      </c>
      <c r="B11" s="3">
        <v>62705</v>
      </c>
      <c r="C11" s="3">
        <v>104955</v>
      </c>
      <c r="D11" s="42">
        <f t="shared" si="0"/>
        <v>-42250</v>
      </c>
      <c r="E11" s="3">
        <v>5774</v>
      </c>
      <c r="F11" s="3">
        <v>7439</v>
      </c>
      <c r="G11" s="3">
        <f t="shared" si="1"/>
        <v>-1665</v>
      </c>
    </row>
    <row r="12" spans="1:7" x14ac:dyDescent="0.25">
      <c r="A12" s="26">
        <v>46042</v>
      </c>
      <c r="B12" s="3">
        <v>59456</v>
      </c>
      <c r="C12" s="3">
        <v>101241</v>
      </c>
      <c r="D12" s="42">
        <f t="shared" si="0"/>
        <v>-41785</v>
      </c>
      <c r="E12" s="3">
        <v>-3249</v>
      </c>
      <c r="F12" s="3">
        <v>-3714</v>
      </c>
      <c r="G12" s="3">
        <f t="shared" si="1"/>
        <v>465</v>
      </c>
    </row>
    <row r="13" spans="1:7" x14ac:dyDescent="0.25">
      <c r="A13" s="26">
        <v>46049</v>
      </c>
      <c r="B13" s="3">
        <v>77169</v>
      </c>
      <c r="C13" s="3">
        <v>93215</v>
      </c>
      <c r="D13" s="42">
        <f t="shared" si="0"/>
        <v>-16046</v>
      </c>
      <c r="E13" s="3">
        <v>17713</v>
      </c>
      <c r="F13" s="3">
        <v>-8026</v>
      </c>
      <c r="G13" s="3">
        <f t="shared" si="1"/>
        <v>25739</v>
      </c>
    </row>
    <row r="14" spans="1:7" x14ac:dyDescent="0.25">
      <c r="A14" s="26">
        <v>46056</v>
      </c>
      <c r="B14" s="3">
        <v>77397</v>
      </c>
      <c r="C14" s="3">
        <v>75267</v>
      </c>
      <c r="D14" s="42">
        <f t="shared" si="0"/>
        <v>2130</v>
      </c>
      <c r="E14" s="1">
        <v>228</v>
      </c>
      <c r="F14" s="3">
        <v>-17948</v>
      </c>
      <c r="G14" s="3">
        <f t="shared" si="1"/>
        <v>18176</v>
      </c>
    </row>
    <row r="15" spans="1:7" x14ac:dyDescent="0.25">
      <c r="A15" s="26">
        <v>46063</v>
      </c>
      <c r="B15" s="3">
        <v>84554</v>
      </c>
      <c r="C15" s="3">
        <v>71278</v>
      </c>
      <c r="D15" s="42">
        <f t="shared" si="0"/>
        <v>13276</v>
      </c>
      <c r="E15" s="3">
        <v>7157</v>
      </c>
      <c r="F15" s="3">
        <v>-3989</v>
      </c>
      <c r="G15" s="3">
        <f t="shared" si="1"/>
        <v>11146</v>
      </c>
    </row>
    <row r="16" spans="1:7" x14ac:dyDescent="0.25">
      <c r="A16" s="26">
        <v>46070</v>
      </c>
      <c r="B16" s="3">
        <v>89601</v>
      </c>
      <c r="C16" s="3">
        <v>63775</v>
      </c>
      <c r="D16" s="42">
        <f t="shared" si="0"/>
        <v>25826</v>
      </c>
      <c r="E16" s="3">
        <v>5047</v>
      </c>
      <c r="F16" s="3">
        <v>-7503</v>
      </c>
      <c r="G16" s="3">
        <f t="shared" si="1"/>
        <v>12550</v>
      </c>
    </row>
    <row r="17" spans="1:7" x14ac:dyDescent="0.25">
      <c r="A17" s="26">
        <v>46077</v>
      </c>
      <c r="B17" s="3">
        <v>92812</v>
      </c>
      <c r="C17" s="3">
        <v>65234</v>
      </c>
      <c r="D17" s="42">
        <f t="shared" si="0"/>
        <v>27578</v>
      </c>
      <c r="E17" s="3">
        <v>3211</v>
      </c>
      <c r="F17" s="3">
        <v>1459</v>
      </c>
      <c r="G17" s="3">
        <f t="shared" si="1"/>
        <v>1752</v>
      </c>
    </row>
    <row r="18" spans="1:7" x14ac:dyDescent="0.25">
      <c r="A18" s="26">
        <v>46084</v>
      </c>
      <c r="B18" s="3">
        <v>94008</v>
      </c>
      <c r="C18" s="3">
        <v>72958</v>
      </c>
      <c r="D18" s="42">
        <f t="shared" si="0"/>
        <v>21050</v>
      </c>
      <c r="E18" s="3">
        <v>1196</v>
      </c>
      <c r="F18" s="3">
        <v>7724</v>
      </c>
      <c r="G18" s="3">
        <f t="shared" si="1"/>
        <v>-6528</v>
      </c>
    </row>
    <row r="19" spans="1:7" x14ac:dyDescent="0.25">
      <c r="A19" s="26">
        <v>46091</v>
      </c>
      <c r="B19" s="3">
        <v>93899</v>
      </c>
      <c r="C19" s="3">
        <v>57740</v>
      </c>
      <c r="D19" s="42">
        <f t="shared" si="0"/>
        <v>36159</v>
      </c>
      <c r="E19" s="1">
        <v>-109</v>
      </c>
      <c r="F19" s="3">
        <v>-15218</v>
      </c>
      <c r="G19" s="3">
        <f t="shared" si="1"/>
        <v>15109</v>
      </c>
    </row>
    <row r="20" spans="1:7" x14ac:dyDescent="0.25">
      <c r="A20" s="26">
        <v>46098</v>
      </c>
      <c r="B20" s="3">
        <v>66507</v>
      </c>
      <c r="C20" s="3">
        <v>65621</v>
      </c>
      <c r="D20" s="42">
        <f t="shared" si="0"/>
        <v>886</v>
      </c>
      <c r="E20" s="3">
        <v>-27392</v>
      </c>
      <c r="F20" s="3">
        <v>7881</v>
      </c>
      <c r="G20" s="3">
        <f t="shared" si="1"/>
        <v>-35273</v>
      </c>
    </row>
    <row r="21" spans="1:7" x14ac:dyDescent="0.25">
      <c r="A21" s="26">
        <v>46105</v>
      </c>
      <c r="B21" s="10">
        <v>62382</v>
      </c>
      <c r="C21" s="3">
        <v>63984</v>
      </c>
      <c r="D21" s="42">
        <f t="shared" si="0"/>
        <v>-1602</v>
      </c>
      <c r="E21" s="3">
        <v>-4125</v>
      </c>
      <c r="F21" s="3">
        <v>-1637</v>
      </c>
      <c r="G21" s="3">
        <f t="shared" si="1"/>
        <v>-2488</v>
      </c>
    </row>
    <row r="22" spans="1:7" x14ac:dyDescent="0.25">
      <c r="A22" s="27">
        <v>46112</v>
      </c>
      <c r="B22" s="19">
        <v>56421</v>
      </c>
      <c r="C22" s="19">
        <v>89105</v>
      </c>
      <c r="D22" s="43">
        <f t="shared" si="0"/>
        <v>-32684</v>
      </c>
      <c r="E22" s="19">
        <v>-5961</v>
      </c>
      <c r="F22" s="19">
        <v>25121</v>
      </c>
      <c r="G22" s="19">
        <f t="shared" si="1"/>
        <v>-31082</v>
      </c>
    </row>
    <row r="23" spans="1:7" x14ac:dyDescent="0.25">
      <c r="A23" s="27">
        <v>46119</v>
      </c>
      <c r="B23" s="7">
        <v>60714</v>
      </c>
      <c r="C23" s="7">
        <v>116362</v>
      </c>
      <c r="D23" s="43">
        <f t="shared" si="0"/>
        <v>-55648</v>
      </c>
      <c r="E23" s="7">
        <v>4293</v>
      </c>
      <c r="F23" s="7">
        <v>27257</v>
      </c>
      <c r="G23" s="19">
        <f t="shared" si="1"/>
        <v>-22964</v>
      </c>
    </row>
    <row r="24" spans="1:7" x14ac:dyDescent="0.25">
      <c r="A24" s="27">
        <v>46126</v>
      </c>
      <c r="B24" s="7">
        <v>54249</v>
      </c>
      <c r="C24" s="7">
        <v>132521</v>
      </c>
      <c r="D24" s="43">
        <f t="shared" si="0"/>
        <v>-78272</v>
      </c>
      <c r="E24" s="7">
        <v>-6465</v>
      </c>
      <c r="F24" s="7">
        <v>16159</v>
      </c>
      <c r="G24" s="19">
        <f t="shared" si="1"/>
        <v>-22624</v>
      </c>
    </row>
    <row r="25" spans="1:7" x14ac:dyDescent="0.25">
      <c r="A25" s="27">
        <v>46133</v>
      </c>
      <c r="B25" s="7">
        <v>60889</v>
      </c>
      <c r="C25" s="7">
        <v>119723</v>
      </c>
      <c r="D25" s="43">
        <f t="shared" si="0"/>
        <v>-58834</v>
      </c>
      <c r="E25" s="7">
        <v>6640</v>
      </c>
      <c r="F25" s="7">
        <v>-12798</v>
      </c>
      <c r="G25" s="19">
        <f t="shared" si="1"/>
        <v>19438</v>
      </c>
    </row>
    <row r="26" spans="1:7" x14ac:dyDescent="0.25">
      <c r="A26" s="27">
        <v>46140</v>
      </c>
      <c r="B26" s="7">
        <v>66517</v>
      </c>
      <c r="C26" s="7">
        <v>104993</v>
      </c>
      <c r="D26" s="43">
        <f t="shared" si="0"/>
        <v>-38476</v>
      </c>
      <c r="E26" s="7">
        <v>5628</v>
      </c>
      <c r="F26" s="7">
        <v>-14730</v>
      </c>
      <c r="G26" s="19">
        <f t="shared" si="1"/>
        <v>20358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7693-2708-497B-89D5-86A56CB2CAAA}">
  <dimension ref="A1:G26"/>
  <sheetViews>
    <sheetView workbookViewId="0">
      <selection activeCell="F29" sqref="F29"/>
    </sheetView>
  </sheetViews>
  <sheetFormatPr defaultRowHeight="15" x14ac:dyDescent="0.25"/>
  <cols>
    <col min="1" max="1" width="10.7109375" style="44" bestFit="1" customWidth="1"/>
    <col min="2" max="2" width="21.85546875" bestFit="1" customWidth="1"/>
    <col min="3" max="3" width="22.42578125" bestFit="1" customWidth="1"/>
    <col min="4" max="4" width="26.5703125" style="46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s="13" customFormat="1" ht="30.75" customHeight="1" x14ac:dyDescent="0.25">
      <c r="A1" s="44" t="s">
        <v>0</v>
      </c>
      <c r="B1" s="13" t="s">
        <v>1</v>
      </c>
      <c r="C1" s="13" t="s">
        <v>2</v>
      </c>
      <c r="D1" s="46" t="s">
        <v>3</v>
      </c>
      <c r="E1" s="13" t="s">
        <v>4</v>
      </c>
      <c r="F1" s="13" t="s">
        <v>18</v>
      </c>
      <c r="G1" s="13" t="s">
        <v>6</v>
      </c>
    </row>
    <row r="2" spans="1:7" x14ac:dyDescent="0.25">
      <c r="A2" s="45">
        <v>45971</v>
      </c>
      <c r="B2" s="7">
        <v>28677</v>
      </c>
      <c r="C2" s="7">
        <v>72746</v>
      </c>
      <c r="D2" s="47">
        <f>B2-C2</f>
        <v>-44069</v>
      </c>
      <c r="E2" s="7">
        <v>3363</v>
      </c>
      <c r="F2" s="7">
        <v>10020</v>
      </c>
      <c r="G2">
        <f>E2-F2</f>
        <v>-6657</v>
      </c>
    </row>
    <row r="3" spans="1:7" x14ac:dyDescent="0.25">
      <c r="A3" s="45">
        <v>45979</v>
      </c>
      <c r="B3" s="7">
        <v>24211</v>
      </c>
      <c r="C3" s="7">
        <v>73468</v>
      </c>
      <c r="D3" s="47">
        <f>B3-C3</f>
        <v>-49257</v>
      </c>
      <c r="E3" s="7">
        <v>-4466</v>
      </c>
      <c r="F3">
        <v>722</v>
      </c>
      <c r="G3">
        <f t="shared" ref="G3:G26" si="0">E3-F3</f>
        <v>-5188</v>
      </c>
    </row>
    <row r="4" spans="1:7" x14ac:dyDescent="0.25">
      <c r="A4" s="45">
        <v>45986</v>
      </c>
      <c r="B4" s="15">
        <v>23477</v>
      </c>
      <c r="C4" s="7">
        <v>75548</v>
      </c>
      <c r="D4" s="47">
        <f>B4-C4</f>
        <v>-52071</v>
      </c>
      <c r="E4">
        <v>-734</v>
      </c>
      <c r="F4" s="7">
        <v>2080</v>
      </c>
      <c r="G4">
        <f t="shared" si="0"/>
        <v>-2814</v>
      </c>
    </row>
    <row r="5" spans="1:7" x14ac:dyDescent="0.25">
      <c r="A5" s="45">
        <v>45993</v>
      </c>
      <c r="B5" s="7">
        <v>18394</v>
      </c>
      <c r="C5" s="7">
        <v>71510</v>
      </c>
      <c r="D5" s="47">
        <f>B5-C5</f>
        <v>-53116</v>
      </c>
      <c r="E5" s="7">
        <v>-5083</v>
      </c>
      <c r="F5" s="7">
        <v>-4038</v>
      </c>
      <c r="G5">
        <f t="shared" si="0"/>
        <v>-1045</v>
      </c>
    </row>
    <row r="6" spans="1:7" x14ac:dyDescent="0.25">
      <c r="A6" s="45">
        <v>46000</v>
      </c>
      <c r="B6" s="7">
        <v>14333</v>
      </c>
      <c r="C6" s="7">
        <v>71114</v>
      </c>
      <c r="D6" s="47">
        <f>B6-C6</f>
        <v>-56781</v>
      </c>
      <c r="E6" s="7">
        <v>-4061</v>
      </c>
      <c r="F6">
        <v>-396</v>
      </c>
      <c r="G6">
        <f t="shared" si="0"/>
        <v>-3665</v>
      </c>
    </row>
    <row r="7" spans="1:7" x14ac:dyDescent="0.25">
      <c r="A7" s="45">
        <v>46007</v>
      </c>
      <c r="B7" s="7">
        <v>8129</v>
      </c>
      <c r="C7" s="7">
        <v>56172</v>
      </c>
      <c r="D7" s="47">
        <f>B7-C7</f>
        <v>-48043</v>
      </c>
      <c r="E7" s="7">
        <v>-6204</v>
      </c>
      <c r="F7" s="7">
        <v>-14942</v>
      </c>
      <c r="G7">
        <f t="shared" si="0"/>
        <v>8738</v>
      </c>
    </row>
    <row r="8" spans="1:7" x14ac:dyDescent="0.25">
      <c r="A8" s="45">
        <v>46014</v>
      </c>
      <c r="B8" s="7">
        <v>9596</v>
      </c>
      <c r="C8" s="7">
        <v>53630</v>
      </c>
      <c r="D8" s="47">
        <f>B8-C8</f>
        <v>-44034</v>
      </c>
      <c r="E8" s="7">
        <v>1467</v>
      </c>
      <c r="F8" s="7">
        <v>-2542</v>
      </c>
      <c r="G8">
        <f t="shared" si="0"/>
        <v>4009</v>
      </c>
    </row>
    <row r="9" spans="1:7" x14ac:dyDescent="0.25">
      <c r="A9" s="45">
        <v>46021</v>
      </c>
      <c r="B9" s="7">
        <v>8706</v>
      </c>
      <c r="C9" s="7">
        <v>51960</v>
      </c>
      <c r="D9" s="47">
        <f>B9-C9</f>
        <v>-43254</v>
      </c>
      <c r="E9">
        <v>-890</v>
      </c>
      <c r="F9" s="7">
        <v>-1670</v>
      </c>
      <c r="G9">
        <f t="shared" si="0"/>
        <v>780</v>
      </c>
    </row>
    <row r="10" spans="1:7" x14ac:dyDescent="0.25">
      <c r="A10" s="45">
        <v>46028</v>
      </c>
      <c r="B10" s="7">
        <v>12971</v>
      </c>
      <c r="C10" s="7">
        <v>56334</v>
      </c>
      <c r="D10" s="47">
        <f>B10-C10</f>
        <v>-43363</v>
      </c>
      <c r="E10" s="7">
        <v>4265</v>
      </c>
      <c r="F10" s="7">
        <v>4374</v>
      </c>
      <c r="G10">
        <f t="shared" si="0"/>
        <v>-109</v>
      </c>
    </row>
    <row r="11" spans="1:7" x14ac:dyDescent="0.25">
      <c r="A11" s="45">
        <v>46035</v>
      </c>
      <c r="B11" s="7">
        <v>9613</v>
      </c>
      <c r="C11" s="7">
        <v>58464</v>
      </c>
      <c r="D11" s="47">
        <f>B11-C11</f>
        <v>-48851</v>
      </c>
      <c r="E11" s="7">
        <v>-3358</v>
      </c>
      <c r="F11" s="7">
        <v>2130</v>
      </c>
      <c r="G11">
        <f t="shared" si="0"/>
        <v>-5488</v>
      </c>
    </row>
    <row r="12" spans="1:7" x14ac:dyDescent="0.25">
      <c r="A12" s="45">
        <v>46042</v>
      </c>
      <c r="B12" s="7">
        <v>13670</v>
      </c>
      <c r="C12" s="7">
        <v>63280</v>
      </c>
      <c r="D12" s="47">
        <f>B12-C12</f>
        <v>-49610</v>
      </c>
      <c r="E12" s="7">
        <v>4057</v>
      </c>
      <c r="F12" s="7">
        <v>4816</v>
      </c>
      <c r="G12">
        <f t="shared" si="0"/>
        <v>-759</v>
      </c>
    </row>
    <row r="13" spans="1:7" x14ac:dyDescent="0.25">
      <c r="A13" s="45">
        <v>46049</v>
      </c>
      <c r="B13" s="7">
        <v>12074</v>
      </c>
      <c r="C13" s="7">
        <v>59819</v>
      </c>
      <c r="D13" s="47">
        <f>B13-C13</f>
        <v>-47745</v>
      </c>
      <c r="E13" s="7">
        <v>-1596</v>
      </c>
      <c r="F13" s="7">
        <v>-3461</v>
      </c>
      <c r="G13">
        <f t="shared" si="0"/>
        <v>1865</v>
      </c>
    </row>
    <row r="14" spans="1:7" x14ac:dyDescent="0.25">
      <c r="A14" s="45">
        <v>46056</v>
      </c>
      <c r="B14" s="7">
        <v>11883</v>
      </c>
      <c r="C14" s="7">
        <v>46177</v>
      </c>
      <c r="D14" s="47">
        <f>B14-C14</f>
        <v>-34294</v>
      </c>
      <c r="E14">
        <v>-191</v>
      </c>
      <c r="F14" s="7">
        <v>-13642</v>
      </c>
      <c r="G14">
        <f t="shared" si="0"/>
        <v>13451</v>
      </c>
    </row>
    <row r="15" spans="1:7" x14ac:dyDescent="0.25">
      <c r="A15" s="45">
        <v>46063</v>
      </c>
      <c r="B15" s="7">
        <v>11801</v>
      </c>
      <c r="C15" s="7">
        <v>46720</v>
      </c>
      <c r="D15" s="47">
        <f>B15-C15</f>
        <v>-34919</v>
      </c>
      <c r="E15">
        <v>-82</v>
      </c>
      <c r="F15">
        <v>543</v>
      </c>
      <c r="G15">
        <f t="shared" si="0"/>
        <v>-625</v>
      </c>
    </row>
    <row r="16" spans="1:7" x14ac:dyDescent="0.25">
      <c r="A16" s="45">
        <v>46070</v>
      </c>
      <c r="B16" s="7">
        <v>11183</v>
      </c>
      <c r="C16" s="7">
        <v>46196</v>
      </c>
      <c r="D16" s="47">
        <f>B16-C16</f>
        <v>-35013</v>
      </c>
      <c r="E16">
        <v>-618</v>
      </c>
      <c r="F16">
        <v>-524</v>
      </c>
      <c r="G16">
        <f t="shared" si="0"/>
        <v>-94</v>
      </c>
    </row>
    <row r="17" spans="1:7" x14ac:dyDescent="0.25">
      <c r="A17" s="45">
        <v>46077</v>
      </c>
      <c r="B17" s="7">
        <v>13839</v>
      </c>
      <c r="C17" s="7">
        <v>43406</v>
      </c>
      <c r="D17" s="47">
        <f>B17-C17</f>
        <v>-29567</v>
      </c>
      <c r="E17" s="7">
        <v>2656</v>
      </c>
      <c r="F17" s="7">
        <v>-2790</v>
      </c>
      <c r="G17">
        <f t="shared" si="0"/>
        <v>5446</v>
      </c>
    </row>
    <row r="18" spans="1:7" x14ac:dyDescent="0.25">
      <c r="A18" s="45">
        <v>46084</v>
      </c>
      <c r="B18" s="7">
        <v>13176</v>
      </c>
      <c r="C18" s="7">
        <v>47510</v>
      </c>
      <c r="D18" s="47">
        <f>B18-C18</f>
        <v>-34334</v>
      </c>
      <c r="E18">
        <v>-663</v>
      </c>
      <c r="F18" s="7">
        <v>4104</v>
      </c>
      <c r="G18">
        <f t="shared" si="0"/>
        <v>-4767</v>
      </c>
    </row>
    <row r="19" spans="1:7" x14ac:dyDescent="0.25">
      <c r="A19" s="45">
        <v>46091</v>
      </c>
      <c r="B19" s="7">
        <v>10944</v>
      </c>
      <c r="C19" s="7">
        <v>48055</v>
      </c>
      <c r="D19" s="47">
        <f>B19-C19</f>
        <v>-37111</v>
      </c>
      <c r="E19" s="7">
        <v>-2232</v>
      </c>
      <c r="F19">
        <v>545</v>
      </c>
      <c r="G19">
        <f t="shared" si="0"/>
        <v>-2777</v>
      </c>
    </row>
    <row r="20" spans="1:7" x14ac:dyDescent="0.25">
      <c r="A20" s="45">
        <v>46098</v>
      </c>
      <c r="B20" s="7">
        <v>10998</v>
      </c>
      <c r="C20" s="7">
        <v>34055</v>
      </c>
      <c r="D20" s="47">
        <f>B20-C20</f>
        <v>-23057</v>
      </c>
      <c r="E20">
        <v>54</v>
      </c>
      <c r="F20" s="7">
        <v>-14000</v>
      </c>
      <c r="G20">
        <f t="shared" si="0"/>
        <v>14054</v>
      </c>
    </row>
    <row r="21" spans="1:7" x14ac:dyDescent="0.25">
      <c r="A21" s="45">
        <v>46105</v>
      </c>
      <c r="B21" s="7">
        <v>10847</v>
      </c>
      <c r="C21" s="7">
        <v>37853</v>
      </c>
      <c r="D21" s="47">
        <f>B21-C21</f>
        <v>-27006</v>
      </c>
      <c r="E21">
        <v>-151</v>
      </c>
      <c r="F21" s="7">
        <v>3798</v>
      </c>
      <c r="G21">
        <f t="shared" si="0"/>
        <v>-3949</v>
      </c>
    </row>
    <row r="22" spans="1:7" x14ac:dyDescent="0.25">
      <c r="A22" s="45">
        <v>46112</v>
      </c>
      <c r="B22" s="7">
        <v>10663</v>
      </c>
      <c r="C22" s="7">
        <v>39251</v>
      </c>
      <c r="D22" s="47">
        <f>B22-C22</f>
        <v>-28588</v>
      </c>
      <c r="E22" s="7">
        <v>-184</v>
      </c>
      <c r="F22" s="7">
        <v>1398</v>
      </c>
      <c r="G22">
        <f t="shared" si="0"/>
        <v>-1582</v>
      </c>
    </row>
    <row r="23" spans="1:7" x14ac:dyDescent="0.25">
      <c r="A23" s="45">
        <v>46119</v>
      </c>
      <c r="B23" s="7">
        <v>12636</v>
      </c>
      <c r="C23" s="7">
        <v>48711</v>
      </c>
      <c r="D23" s="47">
        <f>B23-C23</f>
        <v>-36075</v>
      </c>
      <c r="E23" s="7">
        <v>1973</v>
      </c>
      <c r="F23" s="7">
        <v>9460</v>
      </c>
      <c r="G23">
        <f t="shared" si="0"/>
        <v>-7487</v>
      </c>
    </row>
    <row r="24" spans="1:7" x14ac:dyDescent="0.25">
      <c r="A24" s="45">
        <v>46126</v>
      </c>
      <c r="B24" s="7">
        <v>10112</v>
      </c>
      <c r="C24" s="7">
        <v>52388</v>
      </c>
      <c r="D24" s="47">
        <f>B24-C24</f>
        <v>-42276</v>
      </c>
      <c r="E24" s="7">
        <v>-2524</v>
      </c>
      <c r="F24" s="7">
        <v>3677</v>
      </c>
      <c r="G24">
        <f t="shared" si="0"/>
        <v>-6201</v>
      </c>
    </row>
    <row r="25" spans="1:7" x14ac:dyDescent="0.25">
      <c r="A25" s="45">
        <v>46133</v>
      </c>
      <c r="B25" s="7">
        <v>7917</v>
      </c>
      <c r="C25" s="7">
        <v>56371</v>
      </c>
      <c r="D25" s="47">
        <f>B25-C25</f>
        <v>-48454</v>
      </c>
      <c r="E25" s="7">
        <v>-2195</v>
      </c>
      <c r="F25" s="7">
        <v>3983</v>
      </c>
      <c r="G25">
        <f t="shared" si="0"/>
        <v>-6178</v>
      </c>
    </row>
    <row r="26" spans="1:7" x14ac:dyDescent="0.25">
      <c r="A26" s="45">
        <v>46140</v>
      </c>
      <c r="B26" s="7">
        <v>9044</v>
      </c>
      <c r="C26" s="7">
        <v>55366</v>
      </c>
      <c r="D26" s="47">
        <f>B26-C26</f>
        <v>-46322</v>
      </c>
      <c r="E26" s="7">
        <v>1127</v>
      </c>
      <c r="F26" s="7">
        <v>-1005</v>
      </c>
      <c r="G26">
        <f t="shared" si="0"/>
        <v>2132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BCC2-0E7D-47AA-8D33-415F235882BE}">
  <dimension ref="A1:G2"/>
  <sheetViews>
    <sheetView workbookViewId="0">
      <selection activeCell="D6" sqref="D6"/>
    </sheetView>
  </sheetViews>
  <sheetFormatPr defaultRowHeight="15" x14ac:dyDescent="0.25"/>
  <cols>
    <col min="1" max="1" width="9.7109375" bestFit="1" customWidth="1"/>
    <col min="2" max="2" width="21.85546875" bestFit="1" customWidth="1"/>
    <col min="3" max="3" width="22.42578125" bestFit="1" customWidth="1"/>
    <col min="4" max="4" width="26.5703125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6</v>
      </c>
    </row>
    <row r="2" spans="1:7" x14ac:dyDescent="0.25">
      <c r="A2" s="14">
        <v>46140</v>
      </c>
      <c r="B2" s="7">
        <v>211818</v>
      </c>
      <c r="C2" s="7">
        <v>52247</v>
      </c>
      <c r="D2" s="7">
        <f>B2-C2</f>
        <v>159571</v>
      </c>
      <c r="E2" s="7">
        <v>-1075</v>
      </c>
      <c r="F2" s="7">
        <v>3360</v>
      </c>
      <c r="G2" s="7">
        <f>E2-F2</f>
        <v>-4435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77F0-051C-45DD-9491-CB7C4AFFE320}">
  <dimension ref="A1:G2"/>
  <sheetViews>
    <sheetView workbookViewId="0">
      <selection activeCell="C11" sqref="C11"/>
    </sheetView>
  </sheetViews>
  <sheetFormatPr defaultRowHeight="15" x14ac:dyDescent="0.25"/>
  <cols>
    <col min="1" max="1" width="9.7109375" bestFit="1" customWidth="1"/>
    <col min="2" max="2" width="21.85546875" bestFit="1" customWidth="1"/>
    <col min="3" max="3" width="22.42578125" bestFit="1" customWidth="1"/>
    <col min="4" max="4" width="26.5703125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6</v>
      </c>
    </row>
    <row r="2" spans="1:7" x14ac:dyDescent="0.25">
      <c r="A2" s="14">
        <v>46140</v>
      </c>
      <c r="B2" s="7">
        <v>17431</v>
      </c>
      <c r="C2" s="7">
        <v>15039</v>
      </c>
      <c r="D2" s="7">
        <f>B2-C2</f>
        <v>2392</v>
      </c>
      <c r="E2">
        <v>334</v>
      </c>
      <c r="F2">
        <v>13</v>
      </c>
      <c r="G2">
        <f>E2-F2</f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 </vt:lpstr>
      <vt:lpstr>USD</vt:lpstr>
      <vt:lpstr>AUD</vt:lpstr>
      <vt:lpstr>CHF</vt:lpstr>
      <vt:lpstr>GBP</vt:lpstr>
      <vt:lpstr>JPY</vt:lpstr>
      <vt:lpstr>CAD</vt:lpstr>
      <vt:lpstr>NZD</vt:lpstr>
      <vt:lpstr>XAU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Karani</cp:lastModifiedBy>
  <dcterms:created xsi:type="dcterms:W3CDTF">2026-03-23T06:10:28Z</dcterms:created>
  <dcterms:modified xsi:type="dcterms:W3CDTF">2026-05-07T07:01:27Z</dcterms:modified>
</cp:coreProperties>
</file>